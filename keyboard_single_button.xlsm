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\arduino\_teensy\"/>
    </mc:Choice>
  </mc:AlternateContent>
  <bookViews>
    <workbookView xWindow="0" yWindow="0" windowWidth="11496" windowHeight="5664" firstSheet="2" activeTab="3"/>
  </bookViews>
  <sheets>
    <sheet name="Keyboard_matrix" sheetId="1" r:id="rId1"/>
    <sheet name="regrouping" sheetId="2" r:id="rId2"/>
    <sheet name="matrix" sheetId="3" r:id="rId3"/>
    <sheet name="matrix_result" sheetId="4" r:id="rId4"/>
  </sheets>
  <functionGroups builtInGroupCount="18"/>
  <definedNames>
    <definedName name="result_edit_3" localSheetId="0">Keyboard_matrix!$B$9:$E$184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33" i="1" l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BH13" i="1"/>
  <c r="BG13" i="1"/>
  <c r="BF13" i="1"/>
  <c r="BE13" i="1"/>
  <c r="BD13" i="1"/>
  <c r="BC13" i="1"/>
  <c r="BB13" i="1"/>
  <c r="BA13" i="1"/>
  <c r="AZ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Y13" i="1"/>
</calcChain>
</file>

<file path=xl/connections.xml><?xml version="1.0" encoding="utf-8"?>
<connections xmlns="http://schemas.openxmlformats.org/spreadsheetml/2006/main">
  <connection id="1" name="result_edit_3" type="6" refreshedVersion="5" background="1" saveData="1">
    <textPr sourceFile="C:\t\arduino\playbox\keyboard_matrix\results\result5_sketch_v4_input\result_s2_csv.txt" thousands=" " tab="0" comma="1" semicolon="1">
      <textFields count="3"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<sst xmlns="http://schemas.openxmlformats.org/spreadsheetml/2006/main" count="2163" uniqueCount="197">
  <si>
    <t>26</t>
  </si>
  <si>
    <t>50</t>
  </si>
  <si>
    <t>44</t>
  </si>
  <si>
    <t>46</t>
  </si>
  <si>
    <t>48</t>
  </si>
  <si>
    <t>28</t>
  </si>
  <si>
    <t>32</t>
  </si>
  <si>
    <t>34</t>
  </si>
  <si>
    <t>36</t>
  </si>
  <si>
    <t>38</t>
  </si>
  <si>
    <t>40</t>
  </si>
  <si>
    <t>42</t>
  </si>
  <si>
    <t>F7</t>
  </si>
  <si>
    <t>F8</t>
  </si>
  <si>
    <t>9</t>
  </si>
  <si>
    <t>F9</t>
  </si>
  <si>
    <t>4</t>
  </si>
  <si>
    <t>F10</t>
  </si>
  <si>
    <t>30</t>
  </si>
  <si>
    <t>Pause</t>
  </si>
  <si>
    <t>2</t>
  </si>
  <si>
    <t>5</t>
  </si>
  <si>
    <t>1</t>
  </si>
  <si>
    <t>7</t>
  </si>
  <si>
    <t>8</t>
  </si>
  <si>
    <t>0</t>
  </si>
  <si>
    <t>=</t>
  </si>
  <si>
    <t>Backspace</t>
  </si>
  <si>
    <t>E</t>
  </si>
  <si>
    <t>R</t>
  </si>
  <si>
    <t>T</t>
  </si>
  <si>
    <t>I</t>
  </si>
  <si>
    <t>O</t>
  </si>
  <si>
    <t>P</t>
  </si>
  <si>
    <t>[</t>
  </si>
  <si>
    <t>S</t>
  </si>
  <si>
    <t>F</t>
  </si>
  <si>
    <t>G</t>
  </si>
  <si>
    <t>H</t>
  </si>
  <si>
    <t>J</t>
  </si>
  <si>
    <t>L</t>
  </si>
  <si>
    <t>'</t>
  </si>
  <si>
    <t>\</t>
  </si>
  <si>
    <t>PgUp</t>
  </si>
  <si>
    <t>6</t>
  </si>
  <si>
    <t>Z</t>
  </si>
  <si>
    <t>X</t>
  </si>
  <si>
    <t>C</t>
  </si>
  <si>
    <t>B</t>
  </si>
  <si>
    <t>M</t>
  </si>
  <si>
    <t>/</t>
  </si>
  <si>
    <t>Fn</t>
  </si>
  <si>
    <t>Win</t>
  </si>
  <si>
    <t>22</t>
  </si>
  <si>
    <t>Space</t>
  </si>
  <si>
    <t>10</t>
  </si>
  <si>
    <t>Клавиша</t>
  </si>
  <si>
    <t/>
  </si>
  <si>
    <t>Цветом выделены кнопки с постфиксом _m - чтобы легче их искать в клетках.</t>
  </si>
  <si>
    <t>F4</t>
  </si>
  <si>
    <t>F11</t>
  </si>
  <si>
    <t>F12</t>
  </si>
  <si>
    <t>3</t>
  </si>
  <si>
    <t>-</t>
  </si>
  <si>
    <t>Home</t>
  </si>
  <si>
    <t>Q</t>
  </si>
  <si>
    <t>W</t>
  </si>
  <si>
    <t>U</t>
  </si>
  <si>
    <t>]</t>
  </si>
  <si>
    <t>A</t>
  </si>
  <si>
    <t>Enter</t>
  </si>
  <si>
    <t>Down</t>
  </si>
  <si>
    <t>Left</t>
  </si>
  <si>
    <t>F1</t>
  </si>
  <si>
    <t>F2</t>
  </si>
  <si>
    <t>F6</t>
  </si>
  <si>
    <t>Caps</t>
  </si>
  <si>
    <t>pin1,+5V</t>
  </si>
  <si>
    <t>pin2, Sensor, &gt;=+3V</t>
  </si>
  <si>
    <t>ESC</t>
  </si>
  <si>
    <t>F3</t>
  </si>
  <si>
    <t>F5</t>
  </si>
  <si>
    <t>Insert</t>
  </si>
  <si>
    <t>Delete</t>
  </si>
  <si>
    <t>`</t>
  </si>
  <si>
    <t>Tab</t>
  </si>
  <si>
    <t>D</t>
  </si>
  <si>
    <t>K</t>
  </si>
  <si>
    <t>V</t>
  </si>
  <si>
    <t>N</t>
  </si>
  <si>
    <t>.</t>
  </si>
  <si>
    <t>Up</t>
  </si>
  <si>
    <t>End</t>
  </si>
  <si>
    <t>Right</t>
  </si>
  <si>
    <t>Power +5V - axis X
Sensor - axis Y</t>
  </si>
  <si>
    <t xml:space="preserve"> +5V</t>
  </si>
  <si>
    <t>Signal found</t>
  </si>
  <si>
    <t>PrtScr</t>
  </si>
  <si>
    <t>Y</t>
  </si>
  <si>
    <t>PgDn</t>
  </si>
  <si>
    <t>ShiftL</t>
  </si>
  <si>
    <t>ShiftR</t>
  </si>
  <si>
    <t>CtrlL</t>
  </si>
  <si>
    <t>AltL</t>
  </si>
  <si>
    <t>Broken</t>
  </si>
  <si>
    <t>AltR</t>
  </si>
  <si>
    <t>CtxMenu</t>
  </si>
  <si>
    <t>CtrlR</t>
  </si>
  <si>
    <t>Keyboard 1, эксперимент 2014-12-16</t>
  </si>
  <si>
    <t>Teensy_key</t>
  </si>
  <si>
    <t>Связка с ключами Teensy</t>
  </si>
  <si>
    <t>KEY_ESC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</si>
  <si>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</si>
  <si>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</si>
  <si>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</si>
  <si>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</si>
  <si>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</si>
  <si>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</si>
  <si>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</si>
  <si>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</si>
  <si>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</si>
  <si>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</si>
  <si>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</si>
  <si>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</si>
  <si>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</si>
  <si>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</si>
  <si>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</si>
  <si>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</si>
  <si>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</si>
  <si>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</si>
  <si>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</si>
  <si>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</si>
  <si>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</si>
  <si>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KEY_0</t>
  </si>
  <si>
    <t>KEY_Q</t>
  </si>
  <si>
    <t>KEY_PAUSE</t>
  </si>
  <si>
    <t>KEY_PRINTSCREEN</t>
  </si>
  <si>
    <t>KEY_INSERT</t>
  </si>
  <si>
    <t>KEY_DELETE</t>
  </si>
  <si>
    <t>KEY_TILDE</t>
  </si>
  <si>
    <t>KEY_MINUS</t>
  </si>
  <si>
    <t>KEY_EQUAL</t>
  </si>
  <si>
    <t>KEY_BACKSPACE</t>
  </si>
  <si>
    <t>KEY_HOME</t>
  </si>
  <si>
    <t>KEY_TAB</t>
  </si>
  <si>
    <t>KEY_W</t>
  </si>
  <si>
    <t>KEY_E</t>
  </si>
  <si>
    <t>KEY_R</t>
  </si>
  <si>
    <t>KEY_T</t>
  </si>
  <si>
    <t>KEY_Y</t>
  </si>
  <si>
    <t>KEY_U</t>
  </si>
  <si>
    <t>KEY_I</t>
  </si>
  <si>
    <t>KEY_O</t>
  </si>
  <si>
    <t>KEY_P</t>
  </si>
  <si>
    <t>KEY_A</t>
  </si>
  <si>
    <t>KEY_S</t>
  </si>
  <si>
    <t>KEY_D</t>
  </si>
  <si>
    <t>KEY_F</t>
  </si>
  <si>
    <t>KEY_G</t>
  </si>
  <si>
    <t>KEY_H</t>
  </si>
  <si>
    <t>KEY_J</t>
  </si>
  <si>
    <t>KEY_K</t>
  </si>
  <si>
    <t>KEY_L</t>
  </si>
  <si>
    <t>KEY_Z</t>
  </si>
  <si>
    <t>KEY_X</t>
  </si>
  <si>
    <t>KEY_C</t>
  </si>
  <si>
    <t>KEY_V</t>
  </si>
  <si>
    <t>KEY_B</t>
  </si>
  <si>
    <t>KEY_N</t>
  </si>
  <si>
    <t>KEY_M</t>
  </si>
  <si>
    <t>KEY_LEFT_BRACE</t>
  </si>
  <si>
    <t>KEY_RIGHT_BRACE</t>
  </si>
  <si>
    <t>KEY_ENTER</t>
  </si>
  <si>
    <t>KEY_PAGE_UP</t>
  </si>
  <si>
    <t>KEY_CAPS_LOCK</t>
  </si>
  <si>
    <t>,</t>
  </si>
  <si>
    <t>KEY_COMMA</t>
  </si>
  <si>
    <t>KEY_QUOTE</t>
  </si>
  <si>
    <t>KEY_BACKSLASH</t>
  </si>
  <si>
    <t>KEY_PAGE_DOWN</t>
  </si>
  <si>
    <t>MODIFIERKEY_SHIFT</t>
  </si>
  <si>
    <t>KEY_PERIOD</t>
  </si>
  <si>
    <t>KEY_SLASH</t>
  </si>
  <si>
    <t>left-right</t>
  </si>
  <si>
    <t>KEY_UP</t>
  </si>
  <si>
    <t>KEY_END</t>
  </si>
  <si>
    <t>skipped</t>
  </si>
  <si>
    <t>MODIFIERKEY_CTRL</t>
  </si>
  <si>
    <t>MODIFIERKEY_ALT</t>
  </si>
  <si>
    <t>MODIFIERKEY_GUI</t>
  </si>
  <si>
    <t>KEY_SPACE</t>
  </si>
  <si>
    <t>KEY_LEFT</t>
  </si>
  <si>
    <t>KEY_DOWN</t>
  </si>
  <si>
    <t>KEY_RIGHT</t>
  </si>
  <si>
    <t>;</t>
  </si>
  <si>
    <t>KEY_SEMICOLON</t>
  </si>
  <si>
    <t>Notes: '(4,30) - does not work in excel. Added manually on last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</si>
</sst>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C8C8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sz val="11"/>
      <color rgb="FFC8C800"/>
      <name val="Calibri"/>
      <family val="2"/>
      <charset val="204"/>
      <scheme val="minor"/>
    </font>
    <font>
      <b/>
      <sz val="11"/>
      <color rgb="FFC800C8"/>
      <name val="Calibri"/>
      <family val="2"/>
      <charset val="204"/>
      <scheme val="minor"/>
    </font>
    <font>
      <b/>
      <sz val="11"/>
      <color rgb="FFFA3200"/>
      <name val="Calibri"/>
      <family val="2"/>
      <charset val="204"/>
      <scheme val="minor"/>
    </font>
    <font>
      <b/>
      <sz val="11"/>
      <color rgb="FF646464"/>
      <name val="Calibri"/>
      <family val="2"/>
      <charset val="204"/>
      <scheme val="minor"/>
    </font>
    <font>
      <b/>
      <sz val="11"/>
      <color rgb="FF00FA32"/>
      <name val="Calibri"/>
      <family val="2"/>
      <charset val="204"/>
      <scheme val="minor"/>
    </font>
    <font>
      <b/>
      <sz val="11"/>
      <color rgb="FF3200FA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FF00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  <font>
      <b/>
      <sz val="11"/>
      <color rgb="FF640000"/>
      <name val="Calibri"/>
      <family val="2"/>
      <charset val="204"/>
      <scheme val="minor"/>
    </font>
    <font>
      <b/>
      <sz val="11"/>
      <color rgb="FF006400"/>
      <name val="Calibri"/>
      <family val="2"/>
      <charset val="204"/>
      <scheme val="minor"/>
    </font>
    <font>
      <b/>
      <sz val="11"/>
      <color rgb="FF000064"/>
      <name val="Calibri"/>
      <family val="2"/>
      <charset val="204"/>
      <scheme val="minor"/>
    </font>
    <font>
      <b/>
      <sz val="11"/>
      <color rgb="FFFF646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rgb="FF64FA64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49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1" fillId="0" borderId="0" xfId="0" applyFont="1"/>
    <xf numFmtId="1" fontId="1" fillId="0" borderId="0" xfId="0" applyNumberFormat="1" applyFont="1"/>
    <xf numFmtId="1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3" borderId="1" xfId="0" applyFont="1" applyFill="1" applyBorder="1"/>
    <xf numFmtId="0" fontId="0" fillId="0" borderId="0" xfId="0" applyBorder="1"/>
    <xf numFmtId="0" fontId="10" fillId="0" borderId="1" xfId="0" applyFont="1" applyBorder="1"/>
    <xf numFmtId="0" fontId="12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7" fillId="0" borderId="1" xfId="0" applyFont="1" applyBorder="1"/>
    <xf numFmtId="49" fontId="1" fillId="0" borderId="0" xfId="0" applyNumberFormat="1" applyFont="1" applyAlignment="1">
      <alignment wrapText="1"/>
    </xf>
    <xf numFmtId="49" fontId="1" fillId="0" borderId="0" xfId="0" applyNumberFormat="1" applyFont="1"/>
    <xf numFmtId="0" fontId="17" fillId="2" borderId="1" xfId="0" applyFont="1" applyFill="1" applyBorder="1"/>
    <xf numFmtId="0" fontId="17" fillId="0" borderId="1" xfId="0" applyFont="1" applyBorder="1"/>
    <xf numFmtId="0" fontId="17" fillId="0" borderId="1" xfId="0" quotePrefix="1" applyFont="1" applyBorder="1"/>
    <xf numFmtId="0" fontId="17" fillId="0" borderId="1" xfId="0" applyFont="1" applyBorder="1" applyAlignment="1">
      <alignment wrapText="1"/>
    </xf>
    <xf numFmtId="0" fontId="13" fillId="0" borderId="1" xfId="0" applyFont="1" applyBorder="1"/>
    <xf numFmtId="0" fontId="14" fillId="0" borderId="1" xfId="0" applyFont="1" applyBorder="1"/>
    <xf numFmtId="0" fontId="15" fillId="0" borderId="1" xfId="0" applyFont="1" applyBorder="1"/>
    <xf numFmtId="0" fontId="16" fillId="0" borderId="1" xfId="0" applyFont="1" applyBorder="1"/>
    <xf numFmtId="0" fontId="18" fillId="0" borderId="1" xfId="0" applyFont="1" applyBorder="1"/>
    <xf numFmtId="0" fontId="4" fillId="0" borderId="1" xfId="0" applyFont="1" applyBorder="1" applyAlignment="1">
      <alignment wrapText="1"/>
    </xf>
    <xf numFmtId="0" fontId="6" fillId="0" borderId="1" xfId="0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/>
    <xf numFmtId="0" fontId="11" fillId="0" borderId="1" xfId="0" quotePrefix="1" applyFont="1" applyBorder="1"/>
    <xf numFmtId="0" fontId="12" fillId="0" borderId="1" xfId="0" applyFont="1" applyBorder="1" applyAlignment="1">
      <alignment wrapText="1"/>
    </xf>
    <xf numFmtId="0" fontId="17" fillId="4" borderId="1" xfId="0" applyFont="1" applyFill="1" applyBorder="1"/>
    <xf numFmtId="0" fontId="17" fillId="4" borderId="1" xfId="0" applyFont="1" applyFill="1" applyBorder="1" applyAlignment="1">
      <alignment wrapText="1"/>
    </xf>
    <xf numFmtId="0" fontId="8" fillId="0" borderId="1" xfId="0" quotePrefix="1" applyFont="1" applyBorder="1"/>
    <xf numFmtId="0" fontId="11" fillId="0" borderId="1" xfId="0" applyFont="1" applyBorder="1"/>
    <xf numFmtId="0" fontId="7" fillId="0" borderId="1" xfId="0" applyFont="1" applyBorder="1" applyAlignment="1">
      <alignment wrapText="1"/>
    </xf>
    <xf numFmtId="0" fontId="8" fillId="0" borderId="1" xfId="0" applyFont="1" applyBorder="1"/>
    <xf numFmtId="0" fontId="15" fillId="0" borderId="1" xfId="0" applyFont="1" applyBorder="1" applyAlignment="1">
      <alignment wrapText="1"/>
    </xf>
    <xf numFmtId="0" fontId="9" fillId="0" borderId="1" xfId="0" applyFont="1" applyBorder="1" applyAlignment="1">
      <alignment wrapText="1"/>
    </xf>
    <xf numFmtId="49" fontId="17" fillId="2" borderId="1" xfId="0" applyNumberFormat="1" applyFont="1" applyFill="1" applyBorder="1"/>
    <xf numFmtId="49" fontId="17" fillId="0" borderId="1" xfId="0" applyNumberFormat="1" applyFont="1" applyBorder="1"/>
    <xf numFmtId="49" fontId="17" fillId="4" borderId="1" xfId="0" applyNumberFormat="1" applyFont="1" applyFill="1" applyBorder="1"/>
    <xf numFmtId="49" fontId="2" fillId="0" borderId="1" xfId="0" applyNumberFormat="1" applyFont="1" applyBorder="1"/>
    <xf numFmtId="49" fontId="6" fillId="0" borderId="1" xfId="0" applyNumberFormat="1" applyFont="1" applyBorder="1"/>
    <xf numFmtId="49" fontId="13" fillId="0" borderId="1" xfId="0" applyNumberFormat="1" applyFont="1" applyBorder="1"/>
    <xf numFmtId="49" fontId="4" fillId="0" borderId="1" xfId="0" applyNumberFormat="1" applyFont="1" applyBorder="1"/>
    <xf numFmtId="49" fontId="11" fillId="0" borderId="1" xfId="0" quotePrefix="1" applyNumberFormat="1" applyFont="1" applyBorder="1"/>
    <xf numFmtId="49" fontId="8" fillId="0" borderId="1" xfId="0" quotePrefix="1" applyNumberFormat="1" applyFont="1" applyBorder="1"/>
    <xf numFmtId="49" fontId="14" fillId="0" borderId="1" xfId="0" applyNumberFormat="1" applyFont="1" applyBorder="1"/>
    <xf numFmtId="49" fontId="12" fillId="0" borderId="1" xfId="0" applyNumberFormat="1" applyFont="1" applyBorder="1"/>
    <xf numFmtId="49" fontId="10" fillId="0" borderId="1" xfId="0" applyNumberFormat="1" applyFont="1" applyBorder="1"/>
    <xf numFmtId="49" fontId="16" fillId="0" borderId="1" xfId="0" applyNumberFormat="1" applyFont="1" applyBorder="1"/>
    <xf numFmtId="49" fontId="17" fillId="0" borderId="1" xfId="0" quotePrefix="1" applyNumberFormat="1" applyFont="1" applyBorder="1"/>
    <xf numFmtId="49" fontId="5" fillId="0" borderId="1" xfId="0" applyNumberFormat="1" applyFont="1" applyBorder="1"/>
    <xf numFmtId="49" fontId="15" fillId="0" borderId="1" xfId="0" applyNumberFormat="1" applyFont="1" applyBorder="1"/>
    <xf numFmtId="49" fontId="8" fillId="0" borderId="1" xfId="0" applyNumberFormat="1" applyFont="1" applyBorder="1"/>
    <xf numFmtId="49" fontId="7" fillId="0" borderId="1" xfId="0" applyNumberFormat="1" applyFont="1" applyBorder="1"/>
    <xf numFmtId="49" fontId="3" fillId="0" borderId="1" xfId="0" applyNumberFormat="1" applyFont="1" applyBorder="1"/>
    <xf numFmtId="49" fontId="18" fillId="0" borderId="1" xfId="0" applyNumberFormat="1" applyFont="1" applyBorder="1"/>
    <xf numFmtId="49" fontId="11" fillId="0" borderId="1" xfId="0" applyNumberFormat="1" applyFont="1" applyBorder="1"/>
    <xf numFmtId="49" fontId="17" fillId="0" borderId="1" xfId="0" applyNumberFormat="1" applyFont="1" applyBorder="1" applyAlignment="1">
      <alignment wrapText="1"/>
    </xf>
    <xf numFmtId="49" fontId="17" fillId="4" borderId="1" xfId="0" applyNumberFormat="1" applyFont="1" applyFill="1" applyBorder="1" applyAlignment="1">
      <alignment wrapText="1"/>
    </xf>
    <xf numFmtId="49" fontId="7" fillId="0" borderId="1" xfId="0" applyNumberFormat="1" applyFont="1" applyBorder="1" applyAlignment="1">
      <alignment wrapText="1"/>
    </xf>
    <xf numFmtId="49" fontId="4" fillId="0" borderId="1" xfId="0" applyNumberFormat="1" applyFont="1" applyBorder="1" applyAlignment="1">
      <alignment wrapText="1"/>
    </xf>
    <xf numFmtId="49" fontId="12" fillId="0" borderId="1" xfId="0" applyNumberFormat="1" applyFont="1" applyBorder="1" applyAlignment="1">
      <alignment wrapText="1"/>
    </xf>
    <xf numFmtId="49" fontId="3" fillId="0" borderId="1" xfId="0" applyNumberFormat="1" applyFont="1" applyBorder="1" applyAlignment="1">
      <alignment wrapText="1"/>
    </xf>
    <xf numFmtId="49" fontId="5" fillId="0" borderId="1" xfId="0" applyNumberFormat="1" applyFont="1" applyBorder="1" applyAlignment="1">
      <alignment wrapText="1"/>
    </xf>
    <xf numFmtId="49" fontId="2" fillId="0" borderId="1" xfId="0" applyNumberFormat="1" applyFont="1" applyBorder="1" applyAlignment="1">
      <alignment wrapText="1"/>
    </xf>
    <xf numFmtId="49" fontId="9" fillId="0" borderId="1" xfId="0" applyNumberFormat="1" applyFont="1" applyBorder="1" applyAlignment="1">
      <alignment wrapText="1"/>
    </xf>
    <xf numFmtId="49" fontId="15" fillId="0" borderId="1" xfId="0" applyNumberFormat="1" applyFont="1" applyBorder="1" applyAlignment="1">
      <alignment wrapText="1"/>
    </xf>
    <xf numFmtId="0" fontId="17" fillId="0" borderId="0" xfId="0" applyFont="1" applyFill="1" applyBorder="1"/>
    <xf numFmtId="0" fontId="1" fillId="3" borderId="0" xfId="0" applyFont="1" applyFill="1"/>
    <xf numFmtId="0" fontId="1" fillId="5" borderId="0" xfId="0" applyFont="1" applyFill="1"/>
    <xf numFmtId="0" fontId="0" fillId="5" borderId="0" xfId="0" applyFill="1"/>
    <xf numFmtId="0" fontId="1" fillId="2" borderId="0" xfId="0" applyFont="1" applyFill="1"/>
    <xf numFmtId="0" fontId="0" fillId="2" borderId="0" xfId="0" applyFill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result_edit_3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H195"/>
  <sheetViews>
    <sheetView topLeftCell="I19" zoomScale="120" zoomScaleNormal="120" workbookViewId="0">
      <pane xSplit="3072" topLeftCell="J1" activePane="topRight"/>
      <selection activeCell="BH33" sqref="AJ9:BH33"/>
      <selection pane="topRight" activeCell="L23" sqref="L23"/>
    </sheetView>
  </sheetViews>
  <sheetFormatPr defaultRowHeight="14.4" x14ac:dyDescent="0.3"/>
  <cols>
    <col min="2" max="2" width="9.5546875" customWidth="1"/>
    <col min="3" max="3" width="3" style="2" customWidth="1"/>
    <col min="4" max="4" width="3" style="3" customWidth="1"/>
    <col min="5" max="5" width="3" bestFit="1" customWidth="1"/>
    <col min="8" max="8" width="11.6640625" customWidth="1"/>
    <col min="9" max="9" width="10.109375" customWidth="1"/>
    <col min="10" max="10" width="9.77734375" bestFit="1" customWidth="1"/>
    <col min="11" max="11" width="6" bestFit="1" customWidth="1"/>
    <col min="12" max="12" width="5.44140625" bestFit="1" customWidth="1"/>
    <col min="13" max="13" width="6.33203125" bestFit="1" customWidth="1"/>
    <col min="14" max="14" width="6" bestFit="1" customWidth="1"/>
    <col min="15" max="15" width="5" bestFit="1" customWidth="1"/>
    <col min="16" max="16" width="8.6640625" bestFit="1" customWidth="1"/>
    <col min="17" max="20" width="4.6640625" bestFit="1" customWidth="1"/>
    <col min="21" max="21" width="6" bestFit="1" customWidth="1"/>
    <col min="22" max="22" width="5.77734375" bestFit="1" customWidth="1"/>
    <col min="23" max="23" width="8.6640625" bestFit="1" customWidth="1"/>
    <col min="24" max="24" width="5.44140625" bestFit="1" customWidth="1"/>
    <col min="25" max="25" width="6" bestFit="1" customWidth="1"/>
    <col min="26" max="26" width="7" bestFit="1" customWidth="1"/>
    <col min="27" max="27" width="5.33203125" bestFit="1" customWidth="1"/>
    <col min="28" max="28" width="9.77734375" bestFit="1" customWidth="1"/>
    <col min="29" max="30" width="6.33203125" bestFit="1" customWidth="1"/>
    <col min="31" max="31" width="4.6640625" bestFit="1" customWidth="1"/>
    <col min="32" max="32" width="5" bestFit="1" customWidth="1"/>
    <col min="36" max="36" width="10.44140625" customWidth="1"/>
    <col min="37" max="37" width="16.88671875" bestFit="1" customWidth="1"/>
    <col min="38" max="38" width="17" bestFit="1" customWidth="1"/>
    <col min="39" max="39" width="16.5546875" bestFit="1" customWidth="1"/>
    <col min="40" max="40" width="12.33203125" bestFit="1" customWidth="1"/>
    <col min="41" max="41" width="18.5546875" bestFit="1" customWidth="1"/>
    <col min="42" max="42" width="17.88671875" bestFit="1" customWidth="1"/>
    <col min="44" max="44" width="11.5546875" bestFit="1" customWidth="1"/>
    <col min="45" max="45" width="16.77734375" bestFit="1" customWidth="1"/>
    <col min="46" max="46" width="17.6640625" customWidth="1"/>
    <col min="48" max="49" width="18.5546875" bestFit="1" customWidth="1"/>
    <col min="50" max="50" width="10.88671875" bestFit="1" customWidth="1"/>
    <col min="51" max="51" width="15.5546875" bestFit="1" customWidth="1"/>
    <col min="52" max="52" width="11.88671875" customWidth="1"/>
    <col min="53" max="53" width="6.21875" bestFit="1" customWidth="1"/>
    <col min="54" max="54" width="17" bestFit="1" customWidth="1"/>
    <col min="55" max="55" width="15.21875" bestFit="1" customWidth="1"/>
    <col min="56" max="56" width="11.109375" bestFit="1" customWidth="1"/>
    <col min="57" max="57" width="11.21875" bestFit="1" customWidth="1"/>
    <col min="60" max="60" width="15.88671875" customWidth="1"/>
  </cols>
  <sheetData>
    <row r="1" spans="1:60" x14ac:dyDescent="0.3">
      <c r="A1" s="4" t="s">
        <v>108</v>
      </c>
      <c r="B1" s="4"/>
    </row>
    <row r="2" spans="1:60" x14ac:dyDescent="0.3">
      <c r="M2" s="1"/>
    </row>
    <row r="3" spans="1:60" x14ac:dyDescent="0.3">
      <c r="F3" t="s">
        <v>196</v>
      </c>
      <c r="M3" s="1"/>
    </row>
    <row r="4" spans="1:60" x14ac:dyDescent="0.3">
      <c r="M4" s="1"/>
    </row>
    <row r="5" spans="1:60" x14ac:dyDescent="0.3">
      <c r="M5" s="1"/>
    </row>
    <row r="7" spans="1:60" x14ac:dyDescent="0.3">
      <c r="I7" t="s">
        <v>58</v>
      </c>
    </row>
    <row r="8" spans="1:60" x14ac:dyDescent="0.3">
      <c r="B8" s="4" t="s">
        <v>56</v>
      </c>
      <c r="C8" s="5" t="s">
        <v>77</v>
      </c>
      <c r="D8" s="6" t="s">
        <v>78</v>
      </c>
      <c r="J8" s="4" t="s">
        <v>95</v>
      </c>
      <c r="K8" s="4" t="s">
        <v>95</v>
      </c>
      <c r="L8" s="4" t="s">
        <v>95</v>
      </c>
      <c r="M8" s="4" t="s">
        <v>95</v>
      </c>
      <c r="N8" s="4" t="s">
        <v>95</v>
      </c>
      <c r="O8" s="4" t="s">
        <v>95</v>
      </c>
      <c r="P8" s="4" t="s">
        <v>95</v>
      </c>
      <c r="Q8" s="4" t="s">
        <v>95</v>
      </c>
      <c r="R8" s="4" t="s">
        <v>95</v>
      </c>
      <c r="S8" s="4" t="s">
        <v>95</v>
      </c>
      <c r="T8" s="4" t="s">
        <v>95</v>
      </c>
      <c r="U8" s="4" t="s">
        <v>95</v>
      </c>
      <c r="V8" s="4" t="s">
        <v>95</v>
      </c>
      <c r="W8" s="4" t="s">
        <v>95</v>
      </c>
      <c r="X8" s="4" t="s">
        <v>95</v>
      </c>
      <c r="Y8" s="4" t="s">
        <v>95</v>
      </c>
      <c r="Z8" s="4" t="s">
        <v>95</v>
      </c>
      <c r="AA8" s="4" t="s">
        <v>95</v>
      </c>
      <c r="AB8" s="4" t="s">
        <v>95</v>
      </c>
      <c r="AC8" s="4" t="s">
        <v>95</v>
      </c>
      <c r="AD8" s="4" t="s">
        <v>95</v>
      </c>
      <c r="AE8" s="4" t="s">
        <v>95</v>
      </c>
      <c r="AF8" s="4" t="s">
        <v>95</v>
      </c>
      <c r="AG8" s="4" t="s">
        <v>95</v>
      </c>
    </row>
    <row r="9" spans="1:60" ht="57.6" x14ac:dyDescent="0.3">
      <c r="B9" s="1" t="s">
        <v>79</v>
      </c>
      <c r="C9" s="1" t="s">
        <v>0</v>
      </c>
      <c r="D9" s="1" t="s">
        <v>1</v>
      </c>
      <c r="I9" s="7" t="s">
        <v>94</v>
      </c>
      <c r="J9" s="10">
        <v>2</v>
      </c>
      <c r="K9" s="10">
        <v>3</v>
      </c>
      <c r="L9" s="10">
        <v>4</v>
      </c>
      <c r="M9" s="10">
        <v>5</v>
      </c>
      <c r="N9" s="10">
        <v>6</v>
      </c>
      <c r="O9" s="10">
        <v>7</v>
      </c>
      <c r="P9" s="10">
        <v>8</v>
      </c>
      <c r="Q9" s="10">
        <v>9</v>
      </c>
      <c r="R9" s="10">
        <v>10</v>
      </c>
      <c r="S9" s="10">
        <v>22</v>
      </c>
      <c r="T9" s="10">
        <v>24</v>
      </c>
      <c r="U9" s="10">
        <v>26</v>
      </c>
      <c r="V9" s="10">
        <v>28</v>
      </c>
      <c r="W9" s="10">
        <v>30</v>
      </c>
      <c r="X9" s="10">
        <v>32</v>
      </c>
      <c r="Y9" s="10">
        <v>34</v>
      </c>
      <c r="Z9" s="10">
        <v>36</v>
      </c>
      <c r="AA9" s="10">
        <v>38</v>
      </c>
      <c r="AB9" s="10">
        <v>40</v>
      </c>
      <c r="AC9" s="10">
        <v>42</v>
      </c>
      <c r="AD9" s="10">
        <v>44</v>
      </c>
      <c r="AE9" s="10">
        <v>46</v>
      </c>
      <c r="AF9" s="10">
        <v>48</v>
      </c>
      <c r="AG9" s="10">
        <v>50</v>
      </c>
      <c r="AJ9" s="7" t="s">
        <v>94</v>
      </c>
      <c r="AK9" s="10">
        <v>2</v>
      </c>
      <c r="AL9" s="10">
        <v>3</v>
      </c>
      <c r="AM9" s="10">
        <v>4</v>
      </c>
      <c r="AN9" s="10">
        <v>5</v>
      </c>
      <c r="AO9" s="10">
        <v>6</v>
      </c>
      <c r="AP9" s="10">
        <v>7</v>
      </c>
      <c r="AQ9" s="10">
        <v>8</v>
      </c>
      <c r="AR9" s="10">
        <v>9</v>
      </c>
      <c r="AS9" s="10">
        <v>10</v>
      </c>
      <c r="AT9" s="10">
        <v>22</v>
      </c>
      <c r="AU9" s="10">
        <v>24</v>
      </c>
      <c r="AV9" s="10">
        <v>26</v>
      </c>
      <c r="AW9" s="10">
        <v>28</v>
      </c>
      <c r="AX9" s="10">
        <v>30</v>
      </c>
      <c r="AY9" s="10">
        <v>32</v>
      </c>
      <c r="AZ9" s="10">
        <v>34</v>
      </c>
      <c r="BA9" s="10">
        <v>36</v>
      </c>
      <c r="BB9" s="10">
        <v>38</v>
      </c>
      <c r="BC9" s="10">
        <v>40</v>
      </c>
      <c r="BD9" s="10">
        <v>42</v>
      </c>
      <c r="BE9" s="10">
        <v>44</v>
      </c>
      <c r="BF9" s="10">
        <v>46</v>
      </c>
      <c r="BG9" s="10">
        <v>48</v>
      </c>
      <c r="BH9" s="10">
        <v>50</v>
      </c>
    </row>
    <row r="10" spans="1:60" x14ac:dyDescent="0.3">
      <c r="B10" s="1" t="s">
        <v>79</v>
      </c>
      <c r="C10" s="1" t="s">
        <v>1</v>
      </c>
      <c r="D10" s="1" t="s">
        <v>0</v>
      </c>
      <c r="H10" s="4" t="s">
        <v>96</v>
      </c>
      <c r="I10" s="10">
        <v>2</v>
      </c>
      <c r="J10" s="43"/>
      <c r="K10" s="44"/>
      <c r="L10" s="44"/>
      <c r="M10" s="44"/>
      <c r="N10" s="44"/>
      <c r="O10" s="44"/>
      <c r="P10" s="44"/>
      <c r="Q10" s="44"/>
      <c r="R10" s="44"/>
      <c r="S10" s="44"/>
      <c r="T10" s="45"/>
      <c r="U10" s="46" t="s">
        <v>97</v>
      </c>
      <c r="V10" s="44" t="s">
        <v>42</v>
      </c>
      <c r="W10" s="47" t="s">
        <v>71</v>
      </c>
      <c r="X10" s="44" t="s">
        <v>91</v>
      </c>
      <c r="Y10" s="44"/>
      <c r="Z10" s="44"/>
      <c r="AA10" s="44"/>
      <c r="AB10" s="48" t="s">
        <v>27</v>
      </c>
      <c r="AC10" s="44" t="s">
        <v>26</v>
      </c>
      <c r="AD10" s="49" t="s">
        <v>19</v>
      </c>
      <c r="AE10" s="44"/>
      <c r="AF10" s="44"/>
      <c r="AG10" s="44"/>
      <c r="AJ10" s="10">
        <v>2</v>
      </c>
      <c r="AK10" s="20" t="str">
        <f t="shared" ref="AK10:BH20" si="0">_xlfn.IFNA( IF(J10="","", VLOOKUP(J10, $F$72:$G$158,2,FALSE)),"")</f>
        <v/>
      </c>
      <c r="AL10" s="21" t="str">
        <f t="shared" si="0"/>
        <v/>
      </c>
      <c r="AM10" s="21" t="str">
        <f t="shared" si="0"/>
        <v/>
      </c>
      <c r="AN10" s="21" t="str">
        <f t="shared" si="0"/>
        <v/>
      </c>
      <c r="AO10" s="21" t="str">
        <f t="shared" si="0"/>
        <v/>
      </c>
      <c r="AP10" s="21" t="str">
        <f t="shared" si="0"/>
        <v/>
      </c>
      <c r="AQ10" s="21" t="str">
        <f t="shared" si="0"/>
        <v/>
      </c>
      <c r="AR10" s="21" t="str">
        <f t="shared" si="0"/>
        <v/>
      </c>
      <c r="AS10" s="21" t="str">
        <f t="shared" si="0"/>
        <v/>
      </c>
      <c r="AT10" s="21" t="str">
        <f t="shared" si="0"/>
        <v/>
      </c>
      <c r="AU10" s="35" t="str">
        <f t="shared" si="0"/>
        <v/>
      </c>
      <c r="AV10" s="15" t="str">
        <f t="shared" si="0"/>
        <v>KEY_PRINTSCREEN</v>
      </c>
      <c r="AW10" s="21" t="str">
        <f t="shared" si="0"/>
        <v>KEY_BACKSLASH</v>
      </c>
      <c r="AX10" s="30" t="str">
        <f t="shared" si="0"/>
        <v>KEY_DOWN</v>
      </c>
      <c r="AY10" s="21" t="str">
        <f t="shared" si="0"/>
        <v>KEY_UP</v>
      </c>
      <c r="AZ10" s="21" t="str">
        <f t="shared" si="0"/>
        <v/>
      </c>
      <c r="BA10" s="21" t="str">
        <f t="shared" si="0"/>
        <v/>
      </c>
      <c r="BB10" s="21" t="str">
        <f t="shared" si="0"/>
        <v/>
      </c>
      <c r="BC10" s="24" t="str">
        <f t="shared" si="0"/>
        <v>KEY_BACKSPACE</v>
      </c>
      <c r="BD10" s="21" t="str">
        <f t="shared" si="0"/>
        <v>KEY_EQUAL</v>
      </c>
      <c r="BE10" s="14" t="str">
        <f t="shared" si="0"/>
        <v>KEY_PAUSE</v>
      </c>
      <c r="BF10" s="21" t="str">
        <f t="shared" si="0"/>
        <v/>
      </c>
      <c r="BG10" s="21" t="str">
        <f t="shared" si="0"/>
        <v/>
      </c>
      <c r="BH10" s="21" t="str">
        <f t="shared" si="0"/>
        <v/>
      </c>
    </row>
    <row r="11" spans="1:60" x14ac:dyDescent="0.3">
      <c r="B11" s="1" t="s">
        <v>73</v>
      </c>
      <c r="C11" s="1" t="s">
        <v>2</v>
      </c>
      <c r="D11" s="1" t="s">
        <v>1</v>
      </c>
      <c r="H11" s="4" t="s">
        <v>96</v>
      </c>
      <c r="I11" s="10">
        <v>3</v>
      </c>
      <c r="J11" s="44"/>
      <c r="K11" s="43"/>
      <c r="L11" s="44"/>
      <c r="M11" s="44"/>
      <c r="N11" s="44"/>
      <c r="O11" s="44"/>
      <c r="P11" s="44"/>
      <c r="Q11" s="44"/>
      <c r="R11" s="44"/>
      <c r="S11" s="44"/>
      <c r="T11" s="45"/>
      <c r="U11" s="50" t="s">
        <v>60</v>
      </c>
      <c r="V11" s="51" t="s">
        <v>43</v>
      </c>
      <c r="W11" s="44" t="s">
        <v>67</v>
      </c>
      <c r="X11" s="47" t="s">
        <v>70</v>
      </c>
      <c r="Y11" s="44"/>
      <c r="Z11" s="44"/>
      <c r="AA11" s="44" t="s">
        <v>68</v>
      </c>
      <c r="AB11" s="52" t="s">
        <v>64</v>
      </c>
      <c r="AC11" s="44" t="s">
        <v>63</v>
      </c>
      <c r="AD11" s="53" t="s">
        <v>61</v>
      </c>
      <c r="AE11" s="44"/>
      <c r="AF11" s="44"/>
      <c r="AG11" s="44"/>
      <c r="AJ11" s="10">
        <v>3</v>
      </c>
      <c r="AK11" s="21" t="str">
        <f t="shared" si="0"/>
        <v/>
      </c>
      <c r="AL11" s="20" t="str">
        <f t="shared" si="0"/>
        <v/>
      </c>
      <c r="AM11" s="21" t="str">
        <f t="shared" si="0"/>
        <v/>
      </c>
      <c r="AN11" s="21" t="str">
        <f t="shared" si="0"/>
        <v/>
      </c>
      <c r="AO11" s="21" t="str">
        <f t="shared" si="0"/>
        <v/>
      </c>
      <c r="AP11" s="21" t="str">
        <f t="shared" si="0"/>
        <v/>
      </c>
      <c r="AQ11" s="21" t="str">
        <f t="shared" si="0"/>
        <v/>
      </c>
      <c r="AR11" s="21" t="str">
        <f t="shared" si="0"/>
        <v/>
      </c>
      <c r="AS11" s="21" t="str">
        <f t="shared" si="0"/>
        <v/>
      </c>
      <c r="AT11" s="21" t="str">
        <f t="shared" si="0"/>
        <v/>
      </c>
      <c r="AU11" s="35" t="str">
        <f t="shared" si="0"/>
        <v/>
      </c>
      <c r="AV11" s="15" t="str">
        <f t="shared" si="0"/>
        <v>KEY_F11</v>
      </c>
      <c r="AW11" s="37" t="str">
        <f t="shared" si="0"/>
        <v>KEY_PAGE_UP</v>
      </c>
      <c r="AX11" s="21" t="str">
        <f t="shared" si="0"/>
        <v>KEY_U</v>
      </c>
      <c r="AY11" s="30" t="str">
        <f t="shared" si="0"/>
        <v>KEY_ENTER</v>
      </c>
      <c r="AZ11" s="21" t="str">
        <f t="shared" si="0"/>
        <v/>
      </c>
      <c r="BA11" s="21" t="str">
        <f t="shared" si="0"/>
        <v/>
      </c>
      <c r="BB11" s="21" t="str">
        <f t="shared" si="0"/>
        <v>KEY_RIGHT_BRACE</v>
      </c>
      <c r="BC11" s="25" t="str">
        <f t="shared" si="0"/>
        <v>KEY_HOME</v>
      </c>
      <c r="BD11" s="21" t="str">
        <f t="shared" si="0"/>
        <v>KEY_MINUS</v>
      </c>
      <c r="BE11" s="13" t="str">
        <f t="shared" si="0"/>
        <v>KEY_F12</v>
      </c>
      <c r="BF11" s="21" t="str">
        <f t="shared" si="0"/>
        <v/>
      </c>
      <c r="BG11" s="21" t="str">
        <f t="shared" si="0"/>
        <v/>
      </c>
      <c r="BH11" s="21" t="str">
        <f t="shared" si="0"/>
        <v/>
      </c>
    </row>
    <row r="12" spans="1:60" x14ac:dyDescent="0.3">
      <c r="B12" s="1" t="s">
        <v>73</v>
      </c>
      <c r="C12" s="1" t="s">
        <v>1</v>
      </c>
      <c r="D12" s="1" t="s">
        <v>2</v>
      </c>
      <c r="H12" s="4" t="s">
        <v>96</v>
      </c>
      <c r="I12" s="10">
        <v>4</v>
      </c>
      <c r="J12" s="44"/>
      <c r="K12" s="44"/>
      <c r="L12" s="43"/>
      <c r="M12" s="44"/>
      <c r="N12" s="44"/>
      <c r="O12" s="44"/>
      <c r="P12" s="44"/>
      <c r="Q12" s="44"/>
      <c r="R12" s="44"/>
      <c r="S12" s="44"/>
      <c r="T12" s="45"/>
      <c r="U12" s="54" t="s">
        <v>17</v>
      </c>
      <c r="V12" s="55" t="s">
        <v>99</v>
      </c>
      <c r="W12" s="56" t="s">
        <v>57</v>
      </c>
      <c r="X12" s="44" t="s">
        <v>34</v>
      </c>
      <c r="Y12" s="44"/>
      <c r="Z12" s="44"/>
      <c r="AA12" s="54" t="s">
        <v>92</v>
      </c>
      <c r="AB12" s="44">
        <v>0</v>
      </c>
      <c r="AC12" s="44">
        <v>9</v>
      </c>
      <c r="AD12" s="44" t="s">
        <v>15</v>
      </c>
      <c r="AE12" s="44"/>
      <c r="AF12" s="44"/>
      <c r="AG12" s="44"/>
      <c r="AJ12" s="10">
        <v>4</v>
      </c>
      <c r="AK12" s="21" t="str">
        <f t="shared" si="0"/>
        <v/>
      </c>
      <c r="AL12" s="21" t="str">
        <f t="shared" si="0"/>
        <v/>
      </c>
      <c r="AM12" s="20" t="str">
        <f t="shared" si="0"/>
        <v/>
      </c>
      <c r="AN12" s="21" t="str">
        <f t="shared" si="0"/>
        <v/>
      </c>
      <c r="AO12" s="21" t="str">
        <f t="shared" si="0"/>
        <v/>
      </c>
      <c r="AP12" s="21" t="str">
        <f t="shared" si="0"/>
        <v/>
      </c>
      <c r="AQ12" s="21" t="str">
        <f t="shared" si="0"/>
        <v/>
      </c>
      <c r="AR12" s="21" t="str">
        <f t="shared" si="0"/>
        <v/>
      </c>
      <c r="AS12" s="21" t="str">
        <f t="shared" si="0"/>
        <v/>
      </c>
      <c r="AT12" s="21" t="str">
        <f t="shared" si="0"/>
        <v/>
      </c>
      <c r="AU12" s="35" t="str">
        <f t="shared" si="0"/>
        <v/>
      </c>
      <c r="AV12" s="12" t="str">
        <f t="shared" si="0"/>
        <v>KEY_F10</v>
      </c>
      <c r="AW12" s="27" t="str">
        <f t="shared" si="0"/>
        <v>KEY_PAGE_DOWN</v>
      </c>
      <c r="AX12" s="22" t="str">
        <f t="shared" si="0"/>
        <v/>
      </c>
      <c r="AY12" s="21" t="str">
        <f t="shared" si="0"/>
        <v>KEY_LEFT_BRACE</v>
      </c>
      <c r="AZ12" s="21" t="str">
        <f t="shared" si="0"/>
        <v/>
      </c>
      <c r="BA12" s="21" t="str">
        <f t="shared" si="0"/>
        <v/>
      </c>
      <c r="BB12" s="12" t="str">
        <f t="shared" si="0"/>
        <v>KEY_END</v>
      </c>
      <c r="BC12" s="21" t="str">
        <f t="shared" si="0"/>
        <v>KEY_0</v>
      </c>
      <c r="BD12" s="21" t="str">
        <f t="shared" si="0"/>
        <v>KEY_9</v>
      </c>
      <c r="BE12" s="21" t="str">
        <f t="shared" si="0"/>
        <v>KEY_F9</v>
      </c>
      <c r="BF12" s="21" t="str">
        <f t="shared" si="0"/>
        <v/>
      </c>
      <c r="BG12" s="21" t="str">
        <f t="shared" si="0"/>
        <v/>
      </c>
      <c r="BH12" s="21" t="str">
        <f t="shared" si="0"/>
        <v/>
      </c>
    </row>
    <row r="13" spans="1:60" x14ac:dyDescent="0.3">
      <c r="B13" s="1" t="s">
        <v>74</v>
      </c>
      <c r="C13" s="1" t="s">
        <v>2</v>
      </c>
      <c r="D13" s="1" t="s">
        <v>4</v>
      </c>
      <c r="H13" s="4" t="s">
        <v>96</v>
      </c>
      <c r="I13" s="10">
        <v>5</v>
      </c>
      <c r="J13" s="44"/>
      <c r="K13" s="44"/>
      <c r="L13" s="44"/>
      <c r="M13" s="43"/>
      <c r="N13" s="44"/>
      <c r="O13" s="44"/>
      <c r="P13" s="44"/>
      <c r="Q13" s="44"/>
      <c r="R13" s="44"/>
      <c r="S13" s="44"/>
      <c r="T13" s="45"/>
      <c r="U13" s="57" t="s">
        <v>82</v>
      </c>
      <c r="V13" s="58" t="s">
        <v>72</v>
      </c>
      <c r="W13" s="44" t="s">
        <v>50</v>
      </c>
      <c r="X13" s="44" t="s">
        <v>194</v>
      </c>
      <c r="Y13" s="44"/>
      <c r="Z13" s="44"/>
      <c r="AA13" s="59" t="s">
        <v>93</v>
      </c>
      <c r="AB13" s="44" t="s">
        <v>33</v>
      </c>
      <c r="AC13" s="44">
        <v>8</v>
      </c>
      <c r="AD13" s="60" t="s">
        <v>83</v>
      </c>
      <c r="AE13" s="44"/>
      <c r="AF13" s="44"/>
      <c r="AG13" s="44"/>
      <c r="AJ13" s="10">
        <v>5</v>
      </c>
      <c r="AK13" s="21" t="str">
        <f t="shared" si="0"/>
        <v/>
      </c>
      <c r="AL13" s="21" t="str">
        <f t="shared" si="0"/>
        <v/>
      </c>
      <c r="AM13" s="21" t="str">
        <f t="shared" si="0"/>
        <v/>
      </c>
      <c r="AN13" s="20" t="str">
        <f t="shared" si="0"/>
        <v/>
      </c>
      <c r="AO13" s="21" t="str">
        <f t="shared" si="0"/>
        <v/>
      </c>
      <c r="AP13" s="21" t="str">
        <f t="shared" si="0"/>
        <v/>
      </c>
      <c r="AQ13" s="21" t="str">
        <f t="shared" si="0"/>
        <v/>
      </c>
      <c r="AR13" s="21" t="str">
        <f t="shared" si="0"/>
        <v/>
      </c>
      <c r="AS13" s="21" t="str">
        <f t="shared" si="0"/>
        <v/>
      </c>
      <c r="AT13" s="21" t="str">
        <f t="shared" si="0"/>
        <v/>
      </c>
      <c r="AU13" s="35" t="str">
        <f t="shared" si="0"/>
        <v/>
      </c>
      <c r="AV13" s="16" t="str">
        <f t="shared" si="0"/>
        <v>KEY_INSERT</v>
      </c>
      <c r="AW13" s="26" t="str">
        <f t="shared" si="0"/>
        <v>KEY_LEFT</v>
      </c>
      <c r="AX13" s="21" t="str">
        <f t="shared" si="0"/>
        <v>KEY_SLASH</v>
      </c>
      <c r="AY13" s="21" t="str">
        <f>_xlfn.IFNA( IF(X13="","", VLOOKUP(X13, $F$72:$G$158,2,FALSE)),"")</f>
        <v>KEY_SEMICOLON</v>
      </c>
      <c r="AZ13" s="21" t="str">
        <f t="shared" si="0"/>
        <v/>
      </c>
      <c r="BA13" s="21" t="str">
        <f t="shared" si="0"/>
        <v/>
      </c>
      <c r="BB13" s="40" t="str">
        <f t="shared" si="0"/>
        <v>KEY_RIGHT</v>
      </c>
      <c r="BC13" s="21" t="str">
        <f t="shared" si="0"/>
        <v>KEY_P</v>
      </c>
      <c r="BD13" s="21" t="str">
        <f t="shared" si="0"/>
        <v>KEY_8</v>
      </c>
      <c r="BE13" s="17" t="str">
        <f t="shared" si="0"/>
        <v>KEY_DELETE</v>
      </c>
      <c r="BF13" s="21" t="str">
        <f t="shared" si="0"/>
        <v/>
      </c>
      <c r="BG13" s="21" t="str">
        <f t="shared" si="0"/>
        <v/>
      </c>
      <c r="BH13" s="21" t="str">
        <f t="shared" si="0"/>
        <v/>
      </c>
    </row>
    <row r="14" spans="1:60" x14ac:dyDescent="0.3">
      <c r="B14" s="1" t="s">
        <v>74</v>
      </c>
      <c r="C14" s="1" t="s">
        <v>4</v>
      </c>
      <c r="D14" s="1" t="s">
        <v>2</v>
      </c>
      <c r="H14" s="4" t="s">
        <v>96</v>
      </c>
      <c r="I14" s="10">
        <v>6</v>
      </c>
      <c r="J14" s="44"/>
      <c r="K14" s="44"/>
      <c r="L14" s="44"/>
      <c r="M14" s="44"/>
      <c r="N14" s="43"/>
      <c r="O14" s="44"/>
      <c r="P14" s="44"/>
      <c r="Q14" s="56"/>
      <c r="R14" s="44"/>
      <c r="S14" s="44"/>
      <c r="T14" s="45"/>
      <c r="U14" s="61" t="s">
        <v>101</v>
      </c>
      <c r="V14" s="62" t="s">
        <v>100</v>
      </c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J14" s="10">
        <v>6</v>
      </c>
      <c r="AK14" s="21" t="str">
        <f t="shared" si="0"/>
        <v/>
      </c>
      <c r="AL14" s="21" t="str">
        <f t="shared" si="0"/>
        <v/>
      </c>
      <c r="AM14" s="21" t="str">
        <f t="shared" si="0"/>
        <v/>
      </c>
      <c r="AN14" s="21" t="str">
        <f t="shared" si="0"/>
        <v/>
      </c>
      <c r="AO14" s="20" t="str">
        <f t="shared" si="0"/>
        <v/>
      </c>
      <c r="AP14" s="21" t="str">
        <f t="shared" si="0"/>
        <v/>
      </c>
      <c r="AQ14" s="21" t="str">
        <f t="shared" si="0"/>
        <v/>
      </c>
      <c r="AR14" s="22" t="str">
        <f t="shared" si="0"/>
        <v/>
      </c>
      <c r="AS14" s="21" t="str">
        <f t="shared" si="0"/>
        <v/>
      </c>
      <c r="AT14" s="21" t="str">
        <f t="shared" si="0"/>
        <v/>
      </c>
      <c r="AU14" s="35" t="str">
        <f t="shared" si="0"/>
        <v/>
      </c>
      <c r="AV14" s="32" t="str">
        <f t="shared" si="0"/>
        <v>MODIFIERKEY_SHIFT</v>
      </c>
      <c r="AW14" s="28" t="str">
        <f t="shared" si="0"/>
        <v>MODIFIERKEY_SHIFT</v>
      </c>
      <c r="AX14" s="21" t="str">
        <f t="shared" si="0"/>
        <v/>
      </c>
      <c r="AY14" s="21" t="str">
        <f t="shared" ref="AY14:AY33" si="1">_xlfn.IFNA( IF(X14="","", VLOOKUP(X14, $F$72:$G$158,2,FALSE)),"")</f>
        <v/>
      </c>
      <c r="AZ14" s="21" t="str">
        <f t="shared" si="0"/>
        <v/>
      </c>
      <c r="BA14" s="21" t="str">
        <f t="shared" si="0"/>
        <v/>
      </c>
      <c r="BB14" s="21" t="str">
        <f t="shared" si="0"/>
        <v/>
      </c>
      <c r="BC14" s="21" t="str">
        <f t="shared" si="0"/>
        <v/>
      </c>
      <c r="BD14" s="21" t="str">
        <f t="shared" si="0"/>
        <v/>
      </c>
      <c r="BE14" s="21" t="str">
        <f t="shared" si="0"/>
        <v/>
      </c>
      <c r="BF14" s="21" t="str">
        <f t="shared" si="0"/>
        <v/>
      </c>
      <c r="BG14" s="21" t="str">
        <f t="shared" si="0"/>
        <v/>
      </c>
      <c r="BH14" s="21" t="str">
        <f t="shared" si="0"/>
        <v/>
      </c>
    </row>
    <row r="15" spans="1:60" x14ac:dyDescent="0.3">
      <c r="B15" s="1" t="s">
        <v>80</v>
      </c>
      <c r="C15" s="1" t="s">
        <v>5</v>
      </c>
      <c r="D15" s="1" t="s">
        <v>4</v>
      </c>
      <c r="H15" s="4" t="s">
        <v>96</v>
      </c>
      <c r="I15" s="10">
        <v>7</v>
      </c>
      <c r="J15" s="44"/>
      <c r="K15" s="44"/>
      <c r="L15" s="44"/>
      <c r="M15" s="44"/>
      <c r="N15" s="44"/>
      <c r="O15" s="43"/>
      <c r="P15" s="44"/>
      <c r="Q15" s="44"/>
      <c r="R15" s="44"/>
      <c r="S15" s="44"/>
      <c r="T15" s="45"/>
      <c r="U15" s="52" t="s">
        <v>107</v>
      </c>
      <c r="V15" s="63" t="s">
        <v>102</v>
      </c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J15" s="10">
        <v>7</v>
      </c>
      <c r="AK15" s="21" t="str">
        <f t="shared" si="0"/>
        <v/>
      </c>
      <c r="AL15" s="21" t="str">
        <f t="shared" si="0"/>
        <v/>
      </c>
      <c r="AM15" s="21" t="str">
        <f t="shared" si="0"/>
        <v/>
      </c>
      <c r="AN15" s="21" t="str">
        <f t="shared" si="0"/>
        <v/>
      </c>
      <c r="AO15" s="21" t="str">
        <f t="shared" si="0"/>
        <v/>
      </c>
      <c r="AP15" s="20" t="str">
        <f t="shared" si="0"/>
        <v/>
      </c>
      <c r="AQ15" s="21" t="str">
        <f t="shared" si="0"/>
        <v/>
      </c>
      <c r="AR15" s="21" t="str">
        <f t="shared" si="0"/>
        <v/>
      </c>
      <c r="AS15" s="21" t="str">
        <f t="shared" si="0"/>
        <v/>
      </c>
      <c r="AT15" s="21" t="str">
        <f t="shared" si="0"/>
        <v/>
      </c>
      <c r="AU15" s="35" t="str">
        <f t="shared" si="0"/>
        <v/>
      </c>
      <c r="AV15" s="25" t="str">
        <f t="shared" si="0"/>
        <v>MODIFIERKEY_CTRL</v>
      </c>
      <c r="AW15" s="38" t="str">
        <f t="shared" si="0"/>
        <v>MODIFIERKEY_CTRL</v>
      </c>
      <c r="AX15" s="21" t="str">
        <f t="shared" si="0"/>
        <v/>
      </c>
      <c r="AY15" s="21" t="str">
        <f t="shared" si="1"/>
        <v/>
      </c>
      <c r="AZ15" s="21" t="str">
        <f t="shared" si="0"/>
        <v/>
      </c>
      <c r="BA15" s="21" t="str">
        <f t="shared" si="0"/>
        <v/>
      </c>
      <c r="BB15" s="21" t="str">
        <f t="shared" si="0"/>
        <v/>
      </c>
      <c r="BC15" s="21" t="str">
        <f t="shared" si="0"/>
        <v/>
      </c>
      <c r="BD15" s="21" t="str">
        <f t="shared" si="0"/>
        <v/>
      </c>
      <c r="BE15" s="21" t="str">
        <f t="shared" si="0"/>
        <v/>
      </c>
      <c r="BF15" s="21" t="str">
        <f t="shared" si="0"/>
        <v/>
      </c>
      <c r="BG15" s="21" t="str">
        <f t="shared" si="0"/>
        <v/>
      </c>
      <c r="BH15" s="21" t="str">
        <f t="shared" si="0"/>
        <v/>
      </c>
    </row>
    <row r="16" spans="1:60" x14ac:dyDescent="0.3">
      <c r="B16" s="1" t="s">
        <v>80</v>
      </c>
      <c r="C16" s="1" t="s">
        <v>4</v>
      </c>
      <c r="D16" s="1" t="s">
        <v>5</v>
      </c>
      <c r="H16" s="4" t="s">
        <v>96</v>
      </c>
      <c r="I16" s="10">
        <v>8</v>
      </c>
      <c r="J16" s="44"/>
      <c r="K16" s="44"/>
      <c r="L16" s="44"/>
      <c r="M16" s="44"/>
      <c r="N16" s="44"/>
      <c r="O16" s="44"/>
      <c r="P16" s="43"/>
      <c r="Q16" s="44"/>
      <c r="R16" s="44"/>
      <c r="S16" s="44"/>
      <c r="T16" s="45"/>
      <c r="U16" s="44"/>
      <c r="V16" s="44"/>
      <c r="W16" s="48" t="s">
        <v>106</v>
      </c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J16" s="10">
        <v>8</v>
      </c>
      <c r="AK16" s="21" t="str">
        <f t="shared" si="0"/>
        <v/>
      </c>
      <c r="AL16" s="21" t="str">
        <f t="shared" si="0"/>
        <v/>
      </c>
      <c r="AM16" s="21" t="str">
        <f t="shared" si="0"/>
        <v/>
      </c>
      <c r="AN16" s="21" t="str">
        <f t="shared" si="0"/>
        <v/>
      </c>
      <c r="AO16" s="21" t="str">
        <f t="shared" si="0"/>
        <v/>
      </c>
      <c r="AP16" s="21" t="str">
        <f t="shared" si="0"/>
        <v/>
      </c>
      <c r="AQ16" s="20" t="str">
        <f t="shared" si="0"/>
        <v/>
      </c>
      <c r="AR16" s="21" t="str">
        <f t="shared" si="0"/>
        <v/>
      </c>
      <c r="AS16" s="21" t="str">
        <f t="shared" si="0"/>
        <v/>
      </c>
      <c r="AT16" s="21" t="str">
        <f t="shared" si="0"/>
        <v/>
      </c>
      <c r="AU16" s="35" t="str">
        <f t="shared" si="0"/>
        <v/>
      </c>
      <c r="AV16" s="21" t="str">
        <f t="shared" si="0"/>
        <v/>
      </c>
      <c r="AW16" s="21" t="str">
        <f t="shared" si="0"/>
        <v/>
      </c>
      <c r="AX16" s="24">
        <f t="shared" si="0"/>
        <v>0</v>
      </c>
      <c r="AY16" s="21" t="str">
        <f t="shared" si="1"/>
        <v/>
      </c>
      <c r="AZ16" s="21" t="str">
        <f t="shared" si="0"/>
        <v/>
      </c>
      <c r="BA16" s="21" t="str">
        <f t="shared" si="0"/>
        <v/>
      </c>
      <c r="BB16" s="21" t="str">
        <f t="shared" si="0"/>
        <v/>
      </c>
      <c r="BC16" s="21" t="str">
        <f t="shared" si="0"/>
        <v/>
      </c>
      <c r="BD16" s="21" t="str">
        <f t="shared" si="0"/>
        <v/>
      </c>
      <c r="BE16" s="21" t="str">
        <f t="shared" si="0"/>
        <v/>
      </c>
      <c r="BF16" s="21" t="str">
        <f t="shared" si="0"/>
        <v/>
      </c>
      <c r="BG16" s="21" t="str">
        <f t="shared" si="0"/>
        <v/>
      </c>
      <c r="BH16" s="21" t="str">
        <f t="shared" si="0"/>
        <v/>
      </c>
    </row>
    <row r="17" spans="2:60" ht="43.2" x14ac:dyDescent="0.3">
      <c r="B17" s="1" t="s">
        <v>59</v>
      </c>
      <c r="C17" s="1" t="s">
        <v>0</v>
      </c>
      <c r="D17" s="1" t="s">
        <v>4</v>
      </c>
      <c r="H17" s="4" t="s">
        <v>96</v>
      </c>
      <c r="I17" s="10">
        <v>9</v>
      </c>
      <c r="J17" s="44"/>
      <c r="K17" s="44"/>
      <c r="L17" s="44"/>
      <c r="M17" s="44"/>
      <c r="N17" s="56"/>
      <c r="O17" s="44"/>
      <c r="P17" s="44"/>
      <c r="Q17" s="43"/>
      <c r="R17" s="44"/>
      <c r="S17" s="64"/>
      <c r="T17" s="65"/>
      <c r="U17" s="64" t="s">
        <v>175</v>
      </c>
      <c r="V17" s="64" t="s">
        <v>90</v>
      </c>
      <c r="W17" s="64" t="s">
        <v>39</v>
      </c>
      <c r="X17" s="64" t="s">
        <v>40</v>
      </c>
      <c r="Y17" s="64"/>
      <c r="Z17" s="64"/>
      <c r="AA17" s="64" t="s">
        <v>87</v>
      </c>
      <c r="AB17" s="64" t="s">
        <v>32</v>
      </c>
      <c r="AC17" s="64" t="s">
        <v>31</v>
      </c>
      <c r="AD17" s="64" t="s">
        <v>13</v>
      </c>
      <c r="AE17" s="64"/>
      <c r="AF17" s="64"/>
      <c r="AG17" s="64"/>
      <c r="AJ17" s="10">
        <v>9</v>
      </c>
      <c r="AK17" s="21" t="str">
        <f t="shared" si="0"/>
        <v/>
      </c>
      <c r="AL17" s="21" t="str">
        <f t="shared" si="0"/>
        <v/>
      </c>
      <c r="AM17" s="21" t="str">
        <f t="shared" si="0"/>
        <v/>
      </c>
      <c r="AN17" s="21" t="str">
        <f t="shared" si="0"/>
        <v/>
      </c>
      <c r="AO17" s="22" t="str">
        <f t="shared" si="0"/>
        <v/>
      </c>
      <c r="AP17" s="21" t="str">
        <f t="shared" si="0"/>
        <v/>
      </c>
      <c r="AQ17" s="21" t="str">
        <f t="shared" si="0"/>
        <v/>
      </c>
      <c r="AR17" s="20" t="str">
        <f t="shared" si="0"/>
        <v/>
      </c>
      <c r="AS17" s="21" t="str">
        <f t="shared" si="0"/>
        <v/>
      </c>
      <c r="AT17" s="23" t="str">
        <f t="shared" si="0"/>
        <v/>
      </c>
      <c r="AU17" s="36" t="str">
        <f t="shared" si="0"/>
        <v/>
      </c>
      <c r="AV17" s="23" t="str">
        <f t="shared" si="0"/>
        <v>KEY_COMMA</v>
      </c>
      <c r="AW17" s="23" t="str">
        <f t="shared" si="0"/>
        <v>KEY_PERIOD</v>
      </c>
      <c r="AX17" s="23" t="str">
        <f t="shared" si="0"/>
        <v>KEY_J</v>
      </c>
      <c r="AY17" s="23" t="str">
        <f t="shared" si="1"/>
        <v>KEY_L</v>
      </c>
      <c r="AZ17" s="23" t="str">
        <f t="shared" si="0"/>
        <v/>
      </c>
      <c r="BA17" s="23" t="str">
        <f t="shared" si="0"/>
        <v/>
      </c>
      <c r="BB17" s="23" t="str">
        <f t="shared" si="0"/>
        <v>KEY_K</v>
      </c>
      <c r="BC17" s="23" t="str">
        <f t="shared" si="0"/>
        <v>KEY_O</v>
      </c>
      <c r="BD17" s="23" t="str">
        <f t="shared" si="0"/>
        <v>KEY_I</v>
      </c>
      <c r="BE17" s="23" t="str">
        <f t="shared" si="0"/>
        <v>KEY_F8</v>
      </c>
      <c r="BF17" s="23" t="str">
        <f t="shared" si="0"/>
        <v/>
      </c>
      <c r="BG17" s="23" t="str">
        <f t="shared" si="0"/>
        <v/>
      </c>
      <c r="BH17" s="23" t="str">
        <f t="shared" si="0"/>
        <v/>
      </c>
    </row>
    <row r="18" spans="2:60" ht="43.2" x14ac:dyDescent="0.3">
      <c r="B18" s="1" t="s">
        <v>59</v>
      </c>
      <c r="C18" s="1" t="s">
        <v>4</v>
      </c>
      <c r="D18" s="1" t="s">
        <v>0</v>
      </c>
      <c r="H18" s="4" t="s">
        <v>96</v>
      </c>
      <c r="I18" s="10">
        <v>10</v>
      </c>
      <c r="J18" s="44"/>
      <c r="K18" s="44"/>
      <c r="L18" s="44"/>
      <c r="M18" s="44"/>
      <c r="N18" s="44"/>
      <c r="O18" s="44"/>
      <c r="P18" s="44"/>
      <c r="Q18" s="44"/>
      <c r="R18" s="43"/>
      <c r="S18" s="64"/>
      <c r="T18" s="65"/>
      <c r="U18" s="66" t="s">
        <v>105</v>
      </c>
      <c r="V18" s="67" t="s">
        <v>103</v>
      </c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J18" s="10">
        <v>10</v>
      </c>
      <c r="AK18" s="21" t="str">
        <f t="shared" si="0"/>
        <v/>
      </c>
      <c r="AL18" s="21" t="str">
        <f t="shared" si="0"/>
        <v/>
      </c>
      <c r="AM18" s="21" t="str">
        <f t="shared" si="0"/>
        <v/>
      </c>
      <c r="AN18" s="21" t="str">
        <f t="shared" si="0"/>
        <v/>
      </c>
      <c r="AO18" s="21" t="str">
        <f t="shared" si="0"/>
        <v/>
      </c>
      <c r="AP18" s="21" t="str">
        <f t="shared" si="0"/>
        <v/>
      </c>
      <c r="AQ18" s="21" t="str">
        <f t="shared" si="0"/>
        <v/>
      </c>
      <c r="AR18" s="21" t="str">
        <f t="shared" si="0"/>
        <v/>
      </c>
      <c r="AS18" s="20" t="str">
        <f t="shared" si="0"/>
        <v/>
      </c>
      <c r="AT18" s="23" t="str">
        <f t="shared" si="0"/>
        <v/>
      </c>
      <c r="AU18" s="36" t="str">
        <f t="shared" si="0"/>
        <v/>
      </c>
      <c r="AV18" s="39" t="str">
        <f t="shared" si="0"/>
        <v>MODIFIERKEY_ALT</v>
      </c>
      <c r="AW18" s="29" t="str">
        <f t="shared" si="0"/>
        <v>MODIFIERKEY_ALT</v>
      </c>
      <c r="AX18" s="23" t="str">
        <f t="shared" si="0"/>
        <v/>
      </c>
      <c r="AY18" s="23" t="str">
        <f t="shared" si="1"/>
        <v/>
      </c>
      <c r="AZ18" s="23" t="str">
        <f t="shared" si="0"/>
        <v/>
      </c>
      <c r="BA18" s="23" t="str">
        <f t="shared" si="0"/>
        <v/>
      </c>
      <c r="BB18" s="23" t="str">
        <f t="shared" si="0"/>
        <v/>
      </c>
      <c r="BC18" s="23" t="str">
        <f t="shared" si="0"/>
        <v/>
      </c>
      <c r="BD18" s="23" t="str">
        <f t="shared" si="0"/>
        <v/>
      </c>
      <c r="BE18" s="23" t="str">
        <f t="shared" si="0"/>
        <v/>
      </c>
      <c r="BF18" s="23" t="str">
        <f t="shared" si="0"/>
        <v/>
      </c>
      <c r="BG18" s="23" t="str">
        <f t="shared" si="0"/>
        <v/>
      </c>
      <c r="BH18" s="23" t="str">
        <f t="shared" si="0"/>
        <v/>
      </c>
    </row>
    <row r="19" spans="2:60" ht="43.2" x14ac:dyDescent="0.3">
      <c r="B19" s="1" t="s">
        <v>81</v>
      </c>
      <c r="C19" s="1" t="s">
        <v>0</v>
      </c>
      <c r="D19" s="1" t="s">
        <v>3</v>
      </c>
      <c r="H19" s="4" t="s">
        <v>96</v>
      </c>
      <c r="I19" s="10">
        <v>22</v>
      </c>
      <c r="J19" s="44"/>
      <c r="K19" s="44"/>
      <c r="L19" s="44"/>
      <c r="M19" s="44"/>
      <c r="N19" s="44"/>
      <c r="O19" s="44"/>
      <c r="P19" s="44"/>
      <c r="Q19" s="44"/>
      <c r="R19" s="44"/>
      <c r="S19" s="43"/>
      <c r="T19" s="65"/>
      <c r="U19" s="64"/>
      <c r="V19" s="68" t="s">
        <v>52</v>
      </c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J19" s="10">
        <v>22</v>
      </c>
      <c r="AK19" s="21" t="str">
        <f t="shared" si="0"/>
        <v/>
      </c>
      <c r="AL19" s="21" t="str">
        <f t="shared" si="0"/>
        <v/>
      </c>
      <c r="AM19" s="21" t="str">
        <f t="shared" si="0"/>
        <v/>
      </c>
      <c r="AN19" s="21" t="str">
        <f t="shared" si="0"/>
        <v/>
      </c>
      <c r="AO19" s="21" t="str">
        <f t="shared" si="0"/>
        <v/>
      </c>
      <c r="AP19" s="21" t="str">
        <f t="shared" si="0"/>
        <v/>
      </c>
      <c r="AQ19" s="21" t="str">
        <f t="shared" si="0"/>
        <v/>
      </c>
      <c r="AR19" s="21" t="str">
        <f t="shared" si="0"/>
        <v/>
      </c>
      <c r="AS19" s="21" t="str">
        <f t="shared" si="0"/>
        <v/>
      </c>
      <c r="AT19" s="20" t="str">
        <f t="shared" si="0"/>
        <v/>
      </c>
      <c r="AU19" s="36" t="str">
        <f t="shared" si="0"/>
        <v/>
      </c>
      <c r="AV19" s="23" t="str">
        <f t="shared" si="0"/>
        <v/>
      </c>
      <c r="AW19" s="34" t="str">
        <f t="shared" si="0"/>
        <v>MODIFIERKEY_GUI</v>
      </c>
      <c r="AX19" s="23" t="str">
        <f t="shared" si="0"/>
        <v/>
      </c>
      <c r="AY19" s="23" t="str">
        <f t="shared" si="1"/>
        <v/>
      </c>
      <c r="AZ19" s="23" t="str">
        <f t="shared" si="0"/>
        <v/>
      </c>
      <c r="BA19" s="23" t="str">
        <f t="shared" si="0"/>
        <v/>
      </c>
      <c r="BB19" s="23" t="str">
        <f t="shared" si="0"/>
        <v/>
      </c>
      <c r="BC19" s="23" t="str">
        <f t="shared" si="0"/>
        <v/>
      </c>
      <c r="BD19" s="23" t="str">
        <f t="shared" si="0"/>
        <v/>
      </c>
      <c r="BE19" s="23" t="str">
        <f t="shared" si="0"/>
        <v/>
      </c>
      <c r="BF19" s="23" t="str">
        <f t="shared" si="0"/>
        <v/>
      </c>
      <c r="BG19" s="23" t="str">
        <f t="shared" si="0"/>
        <v/>
      </c>
      <c r="BH19" s="23" t="str">
        <f t="shared" si="0"/>
        <v/>
      </c>
    </row>
    <row r="20" spans="2:60" ht="43.2" x14ac:dyDescent="0.3">
      <c r="B20" s="1" t="s">
        <v>81</v>
      </c>
      <c r="C20" s="1" t="s">
        <v>3</v>
      </c>
      <c r="D20" s="1" t="s">
        <v>0</v>
      </c>
      <c r="H20" s="4" t="s">
        <v>96</v>
      </c>
      <c r="I20" s="10">
        <v>24</v>
      </c>
      <c r="J20" s="45"/>
      <c r="K20" s="45"/>
      <c r="L20" s="45"/>
      <c r="M20" s="45"/>
      <c r="N20" s="45"/>
      <c r="O20" s="45"/>
      <c r="P20" s="45"/>
      <c r="Q20" s="45"/>
      <c r="R20" s="45"/>
      <c r="S20" s="65"/>
      <c r="T20" s="4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0">
        <v>24</v>
      </c>
      <c r="AK20" s="35" t="str">
        <f t="shared" si="0"/>
        <v/>
      </c>
      <c r="AL20" s="35" t="str">
        <f t="shared" si="0"/>
        <v/>
      </c>
      <c r="AM20" s="35" t="str">
        <f t="shared" si="0"/>
        <v/>
      </c>
      <c r="AN20" s="35" t="str">
        <f t="shared" si="0"/>
        <v/>
      </c>
      <c r="AO20" s="35" t="str">
        <f t="shared" si="0"/>
        <v/>
      </c>
      <c r="AP20" s="35" t="str">
        <f t="shared" si="0"/>
        <v/>
      </c>
      <c r="AQ20" s="35" t="str">
        <f t="shared" si="0"/>
        <v/>
      </c>
      <c r="AR20" s="35" t="str">
        <f t="shared" si="0"/>
        <v/>
      </c>
      <c r="AS20" s="35" t="str">
        <f t="shared" si="0"/>
        <v/>
      </c>
      <c r="AT20" s="36" t="str">
        <f t="shared" si="0"/>
        <v/>
      </c>
      <c r="AU20" s="35" t="str">
        <f t="shared" si="0"/>
        <v/>
      </c>
      <c r="AV20" s="36" t="str">
        <f t="shared" si="0"/>
        <v/>
      </c>
      <c r="AW20" s="36" t="str">
        <f t="shared" si="0"/>
        <v/>
      </c>
      <c r="AX20" s="36" t="str">
        <f t="shared" si="0"/>
        <v/>
      </c>
      <c r="AY20" s="36" t="str">
        <f t="shared" si="1"/>
        <v/>
      </c>
      <c r="AZ20" s="36" t="str">
        <f t="shared" si="0"/>
        <v/>
      </c>
      <c r="BA20" s="36" t="str">
        <f t="shared" si="0"/>
        <v/>
      </c>
      <c r="BB20" s="36" t="str">
        <f t="shared" si="0"/>
        <v/>
      </c>
      <c r="BC20" s="36" t="str">
        <f t="shared" si="0"/>
        <v/>
      </c>
      <c r="BD20" s="36" t="str">
        <f t="shared" si="0"/>
        <v/>
      </c>
      <c r="BE20" s="36" t="str">
        <f t="shared" si="0"/>
        <v/>
      </c>
      <c r="BF20" s="36" t="str">
        <f t="shared" si="0"/>
        <v/>
      </c>
      <c r="BG20" s="36" t="str">
        <f t="shared" si="0"/>
        <v/>
      </c>
      <c r="BH20" s="36" t="str">
        <f t="shared" ref="BH20:BH33" si="2">_xlfn.IFNA( IF(AG20="","", VLOOKUP(AG20, $F$72:$G$158,2,FALSE)),"")</f>
        <v/>
      </c>
    </row>
    <row r="21" spans="2:60" ht="43.2" x14ac:dyDescent="0.3">
      <c r="B21" s="1" t="s">
        <v>75</v>
      </c>
      <c r="C21" s="1" t="s">
        <v>2</v>
      </c>
      <c r="D21" s="1" t="s">
        <v>3</v>
      </c>
      <c r="H21" s="4" t="s">
        <v>96</v>
      </c>
      <c r="I21" s="10">
        <v>26</v>
      </c>
      <c r="J21" s="46" t="s">
        <v>97</v>
      </c>
      <c r="K21" s="50" t="s">
        <v>60</v>
      </c>
      <c r="L21" s="54" t="s">
        <v>17</v>
      </c>
      <c r="M21" s="57" t="s">
        <v>82</v>
      </c>
      <c r="N21" s="61" t="s">
        <v>101</v>
      </c>
      <c r="O21" s="52" t="s">
        <v>107</v>
      </c>
      <c r="P21" s="44"/>
      <c r="Q21" s="44" t="s">
        <v>175</v>
      </c>
      <c r="R21" s="60" t="s">
        <v>105</v>
      </c>
      <c r="S21" s="64"/>
      <c r="T21" s="65"/>
      <c r="U21" s="43"/>
      <c r="V21" s="64"/>
      <c r="W21" s="64"/>
      <c r="X21" s="64"/>
      <c r="Y21" s="64" t="s">
        <v>98</v>
      </c>
      <c r="Z21" s="64">
        <v>6</v>
      </c>
      <c r="AA21" s="64"/>
      <c r="AB21" s="64"/>
      <c r="AC21" s="64"/>
      <c r="AD21" s="64"/>
      <c r="AE21" s="64" t="s">
        <v>81</v>
      </c>
      <c r="AF21" s="64" t="s">
        <v>59</v>
      </c>
      <c r="AG21" s="69" t="s">
        <v>79</v>
      </c>
      <c r="AJ21" s="10">
        <v>26</v>
      </c>
      <c r="AK21" s="15" t="str">
        <f t="shared" ref="AK21:AK33" si="3">_xlfn.IFNA( IF(J21="","", VLOOKUP(J21, $F$72:$G$158,2,FALSE)),"")</f>
        <v>KEY_PRINTSCREEN</v>
      </c>
      <c r="AL21" s="33" t="str">
        <f t="shared" ref="AL21:AL33" si="4">_xlfn.IFNA( IF(K21="","", VLOOKUP(K21, $F$72:$G$158,2,FALSE)),"")</f>
        <v>KEY_F11</v>
      </c>
      <c r="AM21" s="12" t="str">
        <f t="shared" ref="AM21:AM33" si="5">_xlfn.IFNA( IF(L21="","", VLOOKUP(L21, $F$72:$G$158,2,FALSE)),"")</f>
        <v>KEY_F10</v>
      </c>
      <c r="AN21" s="16" t="str">
        <f t="shared" ref="AN21:AN33" si="6">_xlfn.IFNA( IF(M21="","", VLOOKUP(M21, $F$72:$G$158,2,FALSE)),"")</f>
        <v>KEY_INSERT</v>
      </c>
      <c r="AO21" s="32" t="str">
        <f t="shared" ref="AO21:AO33" si="7">_xlfn.IFNA( IF(N21="","", VLOOKUP(N21, $F$72:$G$158,2,FALSE)),"")</f>
        <v>MODIFIERKEY_SHIFT</v>
      </c>
      <c r="AP21" s="25" t="str">
        <f t="shared" ref="AP21:AP33" si="8">_xlfn.IFNA( IF(O21="","", VLOOKUP(O21, $F$72:$G$158,2,FALSE)),"")</f>
        <v>MODIFIERKEY_CTRL</v>
      </c>
      <c r="AQ21" s="21" t="str">
        <f t="shared" ref="AQ21:AQ33" si="9">_xlfn.IFNA( IF(P21="","", VLOOKUP(P21, $F$72:$G$158,2,FALSE)),"")</f>
        <v/>
      </c>
      <c r="AR21" s="21" t="str">
        <f t="shared" ref="AR21:AR33" si="10">_xlfn.IFNA( IF(Q21="","", VLOOKUP(Q21, $F$72:$G$158,2,FALSE)),"")</f>
        <v>KEY_COMMA</v>
      </c>
      <c r="AS21" s="17" t="str">
        <f t="shared" ref="AS21:AS33" si="11">_xlfn.IFNA( IF(R21="","", VLOOKUP(R21, $F$72:$G$158,2,FALSE)),"")</f>
        <v>MODIFIERKEY_ALT</v>
      </c>
      <c r="AT21" s="23" t="str">
        <f t="shared" ref="AT21:AT33" si="12">_xlfn.IFNA( IF(S21="","", VLOOKUP(S21, $F$72:$G$158,2,FALSE)),"")</f>
        <v/>
      </c>
      <c r="AU21" s="36" t="str">
        <f t="shared" ref="AU21:AU33" si="13">_xlfn.IFNA( IF(T21="","", VLOOKUP(T21, $F$72:$G$158,2,FALSE)),"")</f>
        <v/>
      </c>
      <c r="AV21" s="20" t="str">
        <f t="shared" ref="AV21:AV33" si="14">_xlfn.IFNA( IF(U21="","", VLOOKUP(U21, $F$72:$G$158,2,FALSE)),"")</f>
        <v/>
      </c>
      <c r="AW21" s="23" t="str">
        <f t="shared" ref="AW21:AW33" si="15">_xlfn.IFNA( IF(V21="","", VLOOKUP(V21, $F$72:$G$158,2,FALSE)),"")</f>
        <v/>
      </c>
      <c r="AX21" s="23" t="str">
        <f t="shared" ref="AX21:AX33" si="16">_xlfn.IFNA( IF(W21="","", VLOOKUP(W21, $F$72:$G$158,2,FALSE)),"")</f>
        <v/>
      </c>
      <c r="AY21" s="23" t="str">
        <f t="shared" si="1"/>
        <v/>
      </c>
      <c r="AZ21" s="23" t="str">
        <f t="shared" ref="AZ21:AZ33" si="17">_xlfn.IFNA( IF(Y21="","", VLOOKUP(Y21, $F$72:$G$158,2,FALSE)),"")</f>
        <v>KEY_Y</v>
      </c>
      <c r="BA21" s="23" t="str">
        <f t="shared" ref="BA21:BA33" si="18">_xlfn.IFNA( IF(Z21="","", VLOOKUP(Z21, $F$72:$G$158,2,FALSE)),"")</f>
        <v>KEY_6</v>
      </c>
      <c r="BB21" s="23" t="str">
        <f t="shared" ref="BB21:BB33" si="19">_xlfn.IFNA( IF(AA21="","", VLOOKUP(AA21, $F$72:$G$158,2,FALSE)),"")</f>
        <v/>
      </c>
      <c r="BC21" s="23" t="str">
        <f t="shared" ref="BC21:BC33" si="20">_xlfn.IFNA( IF(AB21="","", VLOOKUP(AB21, $F$72:$G$158,2,FALSE)),"")</f>
        <v/>
      </c>
      <c r="BD21" s="23" t="str">
        <f t="shared" ref="BD21:BD33" si="21">_xlfn.IFNA( IF(AC21="","", VLOOKUP(AC21, $F$72:$G$158,2,FALSE)),"")</f>
        <v/>
      </c>
      <c r="BE21" s="23" t="str">
        <f t="shared" ref="BE21:BE33" si="22">_xlfn.IFNA( IF(AD21="","", VLOOKUP(AD21, $F$72:$G$158,2,FALSE)),"")</f>
        <v/>
      </c>
      <c r="BF21" s="23" t="str">
        <f t="shared" ref="BF21:BF33" si="23">_xlfn.IFNA( IF(AE21="","", VLOOKUP(AE21, $F$72:$G$158,2,FALSE)),"")</f>
        <v>KEY_F5</v>
      </c>
      <c r="BG21" s="23" t="str">
        <f t="shared" ref="BG21:BG33" si="24">_xlfn.IFNA( IF(AF21="","", VLOOKUP(AF21, $F$72:$G$158,2,FALSE)),"")</f>
        <v>KEY_F4</v>
      </c>
      <c r="BH21" s="31" t="str">
        <f t="shared" si="2"/>
        <v>KEY_ESC</v>
      </c>
    </row>
    <row r="22" spans="2:60" ht="43.2" x14ac:dyDescent="0.3">
      <c r="B22" s="1" t="s">
        <v>75</v>
      </c>
      <c r="C22" s="1" t="s">
        <v>3</v>
      </c>
      <c r="D22" s="1" t="s">
        <v>2</v>
      </c>
      <c r="H22" s="4" t="s">
        <v>96</v>
      </c>
      <c r="I22" s="10">
        <v>28</v>
      </c>
      <c r="J22" s="44" t="s">
        <v>42</v>
      </c>
      <c r="K22" s="51" t="s">
        <v>43</v>
      </c>
      <c r="L22" s="55" t="s">
        <v>99</v>
      </c>
      <c r="M22" s="58" t="s">
        <v>72</v>
      </c>
      <c r="N22" s="62" t="s">
        <v>100</v>
      </c>
      <c r="O22" s="63" t="s">
        <v>102</v>
      </c>
      <c r="P22" s="44"/>
      <c r="Q22" s="44" t="s">
        <v>90</v>
      </c>
      <c r="R22" s="49" t="s">
        <v>103</v>
      </c>
      <c r="S22" s="68" t="s">
        <v>52</v>
      </c>
      <c r="T22" s="65"/>
      <c r="U22" s="64"/>
      <c r="V22" s="43"/>
      <c r="W22" s="64"/>
      <c r="X22" s="64"/>
      <c r="Y22" s="64" t="s">
        <v>37</v>
      </c>
      <c r="Z22" s="64" t="s">
        <v>30</v>
      </c>
      <c r="AA22" s="64"/>
      <c r="AB22" s="64"/>
      <c r="AC22" s="64"/>
      <c r="AD22" s="64"/>
      <c r="AE22" s="64">
        <v>5</v>
      </c>
      <c r="AF22" s="64" t="s">
        <v>80</v>
      </c>
      <c r="AG22" s="64" t="s">
        <v>84</v>
      </c>
      <c r="AJ22" s="10">
        <v>28</v>
      </c>
      <c r="AK22" s="21" t="str">
        <f t="shared" si="3"/>
        <v>KEY_BACKSLASH</v>
      </c>
      <c r="AL22" s="37" t="str">
        <f t="shared" si="4"/>
        <v>KEY_PAGE_UP</v>
      </c>
      <c r="AM22" s="27" t="str">
        <f t="shared" si="5"/>
        <v>KEY_PAGE_DOWN</v>
      </c>
      <c r="AN22" s="26" t="str">
        <f t="shared" si="6"/>
        <v>KEY_LEFT</v>
      </c>
      <c r="AO22" s="28" t="str">
        <f t="shared" si="7"/>
        <v>MODIFIERKEY_SHIFT</v>
      </c>
      <c r="AP22" s="38" t="str">
        <f t="shared" si="8"/>
        <v>MODIFIERKEY_CTRL</v>
      </c>
      <c r="AQ22" s="21" t="str">
        <f t="shared" si="9"/>
        <v/>
      </c>
      <c r="AR22" s="21" t="str">
        <f t="shared" si="10"/>
        <v>KEY_PERIOD</v>
      </c>
      <c r="AS22" s="14" t="str">
        <f t="shared" si="11"/>
        <v>MODIFIERKEY_ALT</v>
      </c>
      <c r="AT22" s="34" t="str">
        <f t="shared" si="12"/>
        <v>MODIFIERKEY_GUI</v>
      </c>
      <c r="AU22" s="36" t="str">
        <f t="shared" si="13"/>
        <v/>
      </c>
      <c r="AV22" s="23" t="str">
        <f t="shared" si="14"/>
        <v/>
      </c>
      <c r="AW22" s="20" t="str">
        <f t="shared" si="15"/>
        <v/>
      </c>
      <c r="AX22" s="23" t="str">
        <f t="shared" si="16"/>
        <v/>
      </c>
      <c r="AY22" s="23" t="str">
        <f t="shared" si="1"/>
        <v/>
      </c>
      <c r="AZ22" s="23" t="str">
        <f t="shared" si="17"/>
        <v>KEY_G</v>
      </c>
      <c r="BA22" s="23" t="str">
        <f t="shared" si="18"/>
        <v>KEY_T</v>
      </c>
      <c r="BB22" s="23" t="str">
        <f t="shared" si="19"/>
        <v/>
      </c>
      <c r="BC22" s="23" t="str">
        <f t="shared" si="20"/>
        <v/>
      </c>
      <c r="BD22" s="23" t="str">
        <f t="shared" si="21"/>
        <v/>
      </c>
      <c r="BE22" s="23" t="str">
        <f t="shared" si="22"/>
        <v/>
      </c>
      <c r="BF22" s="23" t="str">
        <f t="shared" si="23"/>
        <v>KEY_5</v>
      </c>
      <c r="BG22" s="23" t="str">
        <f t="shared" si="24"/>
        <v>KEY_F3</v>
      </c>
      <c r="BH22" s="23" t="str">
        <f t="shared" si="2"/>
        <v>KEY_TILDE</v>
      </c>
    </row>
    <row r="23" spans="2:60" ht="43.2" x14ac:dyDescent="0.3">
      <c r="B23" s="1" t="s">
        <v>12</v>
      </c>
      <c r="C23" s="1" t="s">
        <v>8</v>
      </c>
      <c r="D23" s="1" t="s">
        <v>2</v>
      </c>
      <c r="H23" s="4" t="s">
        <v>96</v>
      </c>
      <c r="I23" s="10">
        <v>30</v>
      </c>
      <c r="J23" s="47" t="s">
        <v>71</v>
      </c>
      <c r="K23" s="44" t="s">
        <v>67</v>
      </c>
      <c r="L23" s="56" t="s">
        <v>57</v>
      </c>
      <c r="M23" s="44" t="s">
        <v>50</v>
      </c>
      <c r="N23" s="44"/>
      <c r="O23" s="44"/>
      <c r="P23" s="48" t="s">
        <v>106</v>
      </c>
      <c r="Q23" s="44" t="s">
        <v>39</v>
      </c>
      <c r="R23" s="44"/>
      <c r="S23" s="64"/>
      <c r="T23" s="65"/>
      <c r="U23" s="64"/>
      <c r="V23" s="64"/>
      <c r="W23" s="43"/>
      <c r="X23" s="64"/>
      <c r="Y23" s="70" t="s">
        <v>54</v>
      </c>
      <c r="Z23" s="64" t="s">
        <v>45</v>
      </c>
      <c r="AA23" s="64"/>
      <c r="AB23" s="64"/>
      <c r="AC23" s="64"/>
      <c r="AD23" s="64"/>
      <c r="AE23" s="64" t="s">
        <v>35</v>
      </c>
      <c r="AF23" s="64" t="s">
        <v>69</v>
      </c>
      <c r="AG23" s="64" t="s">
        <v>51</v>
      </c>
      <c r="AJ23" s="10">
        <v>30</v>
      </c>
      <c r="AK23" s="30" t="str">
        <f t="shared" si="3"/>
        <v>KEY_DOWN</v>
      </c>
      <c r="AL23" s="21" t="str">
        <f t="shared" si="4"/>
        <v>KEY_U</v>
      </c>
      <c r="AM23" s="22" t="str">
        <f t="shared" si="5"/>
        <v/>
      </c>
      <c r="AN23" s="21" t="str">
        <f t="shared" si="6"/>
        <v>KEY_SLASH</v>
      </c>
      <c r="AO23" s="21" t="str">
        <f t="shared" si="7"/>
        <v/>
      </c>
      <c r="AP23" s="21" t="str">
        <f t="shared" si="8"/>
        <v/>
      </c>
      <c r="AQ23" s="24">
        <f t="shared" si="9"/>
        <v>0</v>
      </c>
      <c r="AR23" s="21" t="str">
        <f t="shared" si="10"/>
        <v>KEY_J</v>
      </c>
      <c r="AS23" s="21" t="str">
        <f t="shared" si="11"/>
        <v/>
      </c>
      <c r="AT23" s="23" t="str">
        <f t="shared" si="12"/>
        <v/>
      </c>
      <c r="AU23" s="36" t="str">
        <f t="shared" si="13"/>
        <v/>
      </c>
      <c r="AV23" s="23" t="str">
        <f t="shared" si="14"/>
        <v/>
      </c>
      <c r="AW23" s="23" t="str">
        <f t="shared" si="15"/>
        <v/>
      </c>
      <c r="AX23" s="20" t="str">
        <f t="shared" si="16"/>
        <v/>
      </c>
      <c r="AY23" s="23" t="str">
        <f t="shared" si="1"/>
        <v/>
      </c>
      <c r="AZ23" s="8" t="str">
        <f t="shared" si="17"/>
        <v>KEY_SPACE</v>
      </c>
      <c r="BA23" s="23" t="str">
        <f t="shared" si="18"/>
        <v>KEY_Z</v>
      </c>
      <c r="BB23" s="23" t="str">
        <f t="shared" si="19"/>
        <v/>
      </c>
      <c r="BC23" s="23" t="str">
        <f t="shared" si="20"/>
        <v/>
      </c>
      <c r="BD23" s="23" t="str">
        <f t="shared" si="21"/>
        <v/>
      </c>
      <c r="BE23" s="23" t="str">
        <f t="shared" si="22"/>
        <v/>
      </c>
      <c r="BF23" s="23" t="str">
        <f t="shared" si="23"/>
        <v>KEY_S</v>
      </c>
      <c r="BG23" s="23" t="str">
        <f t="shared" si="24"/>
        <v>KEY_A</v>
      </c>
      <c r="BH23" s="23" t="str">
        <f t="shared" si="2"/>
        <v>0</v>
      </c>
    </row>
    <row r="24" spans="2:60" ht="43.2" x14ac:dyDescent="0.3">
      <c r="B24" s="1" t="s">
        <v>12</v>
      </c>
      <c r="C24" s="1" t="s">
        <v>2</v>
      </c>
      <c r="D24" s="1" t="s">
        <v>8</v>
      </c>
      <c r="H24" s="4" t="s">
        <v>96</v>
      </c>
      <c r="I24" s="10">
        <v>32</v>
      </c>
      <c r="J24" s="44" t="s">
        <v>91</v>
      </c>
      <c r="K24" s="47" t="s">
        <v>70</v>
      </c>
      <c r="L24" s="44" t="s">
        <v>34</v>
      </c>
      <c r="M24" s="44" t="s">
        <v>194</v>
      </c>
      <c r="N24" s="44"/>
      <c r="O24" s="44"/>
      <c r="P24" s="44"/>
      <c r="Q24" s="44" t="s">
        <v>40</v>
      </c>
      <c r="R24" s="44"/>
      <c r="S24" s="64"/>
      <c r="T24" s="65"/>
      <c r="U24" s="64"/>
      <c r="V24" s="64"/>
      <c r="W24" s="64"/>
      <c r="X24" s="43"/>
      <c r="Y24" s="64" t="s">
        <v>89</v>
      </c>
      <c r="Z24" s="64" t="s">
        <v>46</v>
      </c>
      <c r="AA24" s="64"/>
      <c r="AB24" s="64"/>
      <c r="AC24" s="64"/>
      <c r="AD24" s="64"/>
      <c r="AE24" s="64" t="s">
        <v>86</v>
      </c>
      <c r="AF24" s="64" t="s">
        <v>65</v>
      </c>
      <c r="AG24" s="64" t="s">
        <v>49</v>
      </c>
      <c r="AJ24" s="10">
        <v>32</v>
      </c>
      <c r="AK24" s="21" t="str">
        <f t="shared" si="3"/>
        <v>KEY_UP</v>
      </c>
      <c r="AL24" s="30" t="str">
        <f t="shared" si="4"/>
        <v>KEY_ENTER</v>
      </c>
      <c r="AM24" s="21" t="str">
        <f t="shared" si="5"/>
        <v>KEY_LEFT_BRACE</v>
      </c>
      <c r="AN24" s="21" t="str">
        <f t="shared" si="6"/>
        <v>KEY_SEMICOLON</v>
      </c>
      <c r="AO24" s="21" t="str">
        <f t="shared" si="7"/>
        <v/>
      </c>
      <c r="AP24" s="21" t="str">
        <f t="shared" si="8"/>
        <v/>
      </c>
      <c r="AQ24" s="21" t="str">
        <f t="shared" si="9"/>
        <v/>
      </c>
      <c r="AR24" s="21" t="str">
        <f t="shared" si="10"/>
        <v>KEY_L</v>
      </c>
      <c r="AS24" s="21" t="str">
        <f t="shared" si="11"/>
        <v/>
      </c>
      <c r="AT24" s="23" t="str">
        <f t="shared" si="12"/>
        <v/>
      </c>
      <c r="AU24" s="36" t="str">
        <f t="shared" si="13"/>
        <v/>
      </c>
      <c r="AV24" s="23" t="str">
        <f t="shared" si="14"/>
        <v/>
      </c>
      <c r="AW24" s="23" t="str">
        <f t="shared" si="15"/>
        <v/>
      </c>
      <c r="AX24" s="23" t="str">
        <f t="shared" si="16"/>
        <v/>
      </c>
      <c r="AY24" s="20" t="str">
        <f t="shared" si="1"/>
        <v/>
      </c>
      <c r="AZ24" s="23" t="str">
        <f t="shared" si="17"/>
        <v>KEY_N</v>
      </c>
      <c r="BA24" s="23" t="str">
        <f t="shared" si="18"/>
        <v>KEY_X</v>
      </c>
      <c r="BB24" s="23" t="str">
        <f t="shared" si="19"/>
        <v/>
      </c>
      <c r="BC24" s="23" t="str">
        <f t="shared" si="20"/>
        <v/>
      </c>
      <c r="BD24" s="23" t="str">
        <f t="shared" si="21"/>
        <v/>
      </c>
      <c r="BE24" s="23" t="str">
        <f t="shared" si="22"/>
        <v/>
      </c>
      <c r="BF24" s="23" t="str">
        <f t="shared" si="23"/>
        <v>KEY_D</v>
      </c>
      <c r="BG24" s="23" t="str">
        <f t="shared" si="24"/>
        <v>KEY_Q</v>
      </c>
      <c r="BH24" s="23" t="str">
        <f t="shared" si="2"/>
        <v>KEY_M</v>
      </c>
    </row>
    <row r="25" spans="2:60" ht="43.2" x14ac:dyDescent="0.3">
      <c r="B25" s="1" t="s">
        <v>13</v>
      </c>
      <c r="C25" s="1" t="s">
        <v>14</v>
      </c>
      <c r="D25" s="1" t="s">
        <v>2</v>
      </c>
      <c r="H25" s="4" t="s">
        <v>96</v>
      </c>
      <c r="I25" s="10">
        <v>34</v>
      </c>
      <c r="J25" s="44"/>
      <c r="K25" s="44"/>
      <c r="L25" s="44"/>
      <c r="M25" s="44"/>
      <c r="N25" s="44"/>
      <c r="O25" s="44"/>
      <c r="P25" s="44"/>
      <c r="Q25" s="44"/>
      <c r="R25" s="44"/>
      <c r="S25" s="64"/>
      <c r="T25" s="65"/>
      <c r="U25" s="64" t="s">
        <v>98</v>
      </c>
      <c r="V25" s="64" t="s">
        <v>37</v>
      </c>
      <c r="W25" s="70" t="s">
        <v>54</v>
      </c>
      <c r="X25" s="64" t="s">
        <v>89</v>
      </c>
      <c r="Y25" s="43"/>
      <c r="Z25" s="64"/>
      <c r="AA25" s="64" t="s">
        <v>88</v>
      </c>
      <c r="AB25" s="64" t="s">
        <v>48</v>
      </c>
      <c r="AC25" s="64" t="s">
        <v>38</v>
      </c>
      <c r="AD25" s="64">
        <v>7</v>
      </c>
      <c r="AE25" s="64"/>
      <c r="AF25" s="64"/>
      <c r="AG25" s="64"/>
      <c r="AJ25" s="10">
        <v>34</v>
      </c>
      <c r="AK25" s="21" t="str">
        <f t="shared" si="3"/>
        <v/>
      </c>
      <c r="AL25" s="21" t="str">
        <f t="shared" si="4"/>
        <v/>
      </c>
      <c r="AM25" s="21" t="str">
        <f t="shared" si="5"/>
        <v/>
      </c>
      <c r="AN25" s="21" t="str">
        <f t="shared" si="6"/>
        <v/>
      </c>
      <c r="AO25" s="21" t="str">
        <f t="shared" si="7"/>
        <v/>
      </c>
      <c r="AP25" s="21" t="str">
        <f t="shared" si="8"/>
        <v/>
      </c>
      <c r="AQ25" s="21" t="str">
        <f t="shared" si="9"/>
        <v/>
      </c>
      <c r="AR25" s="21" t="str">
        <f t="shared" si="10"/>
        <v/>
      </c>
      <c r="AS25" s="21" t="str">
        <f t="shared" si="11"/>
        <v/>
      </c>
      <c r="AT25" s="23" t="str">
        <f t="shared" si="12"/>
        <v/>
      </c>
      <c r="AU25" s="36" t="str">
        <f t="shared" si="13"/>
        <v/>
      </c>
      <c r="AV25" s="23" t="str">
        <f t="shared" si="14"/>
        <v>KEY_Y</v>
      </c>
      <c r="AW25" s="23" t="str">
        <f t="shared" si="15"/>
        <v>KEY_G</v>
      </c>
      <c r="AX25" s="8" t="str">
        <f t="shared" si="16"/>
        <v>KEY_SPACE</v>
      </c>
      <c r="AY25" s="23" t="str">
        <f t="shared" si="1"/>
        <v>KEY_N</v>
      </c>
      <c r="AZ25" s="20" t="str">
        <f t="shared" si="17"/>
        <v/>
      </c>
      <c r="BA25" s="23" t="str">
        <f t="shared" si="18"/>
        <v/>
      </c>
      <c r="BB25" s="23" t="str">
        <f t="shared" si="19"/>
        <v>KEY_V</v>
      </c>
      <c r="BC25" s="23" t="str">
        <f t="shared" si="20"/>
        <v>KEY_B</v>
      </c>
      <c r="BD25" s="23" t="str">
        <f t="shared" si="21"/>
        <v>KEY_H</v>
      </c>
      <c r="BE25" s="23" t="str">
        <f t="shared" si="22"/>
        <v>KEY_7</v>
      </c>
      <c r="BF25" s="23" t="str">
        <f t="shared" si="23"/>
        <v/>
      </c>
      <c r="BG25" s="23" t="str">
        <f t="shared" si="24"/>
        <v/>
      </c>
      <c r="BH25" s="23" t="str">
        <f t="shared" si="2"/>
        <v/>
      </c>
    </row>
    <row r="26" spans="2:60" ht="28.8" x14ac:dyDescent="0.3">
      <c r="B26" s="1" t="s">
        <v>13</v>
      </c>
      <c r="C26" s="1" t="s">
        <v>2</v>
      </c>
      <c r="D26" s="1" t="s">
        <v>14</v>
      </c>
      <c r="H26" s="4" t="s">
        <v>96</v>
      </c>
      <c r="I26" s="10">
        <v>36</v>
      </c>
      <c r="J26" s="44"/>
      <c r="K26" s="44"/>
      <c r="L26" s="44"/>
      <c r="M26" s="44"/>
      <c r="N26" s="44"/>
      <c r="O26" s="44"/>
      <c r="P26" s="44"/>
      <c r="Q26" s="44"/>
      <c r="R26" s="44"/>
      <c r="S26" s="64"/>
      <c r="T26" s="65"/>
      <c r="U26" s="64">
        <v>6</v>
      </c>
      <c r="V26" s="64" t="s">
        <v>30</v>
      </c>
      <c r="W26" s="64" t="s">
        <v>45</v>
      </c>
      <c r="X26" s="64" t="s">
        <v>46</v>
      </c>
      <c r="Y26" s="64"/>
      <c r="Z26" s="43"/>
      <c r="AA26" s="64" t="s">
        <v>47</v>
      </c>
      <c r="AB26" s="71" t="s">
        <v>104</v>
      </c>
      <c r="AC26" s="64" t="s">
        <v>36</v>
      </c>
      <c r="AD26" s="64" t="s">
        <v>12</v>
      </c>
      <c r="AE26" s="64"/>
      <c r="AF26" s="64"/>
      <c r="AG26" s="64"/>
      <c r="AJ26" s="10">
        <v>36</v>
      </c>
      <c r="AK26" s="21" t="str">
        <f t="shared" si="3"/>
        <v/>
      </c>
      <c r="AL26" s="21" t="str">
        <f t="shared" si="4"/>
        <v/>
      </c>
      <c r="AM26" s="21" t="str">
        <f t="shared" si="5"/>
        <v/>
      </c>
      <c r="AN26" s="21" t="str">
        <f t="shared" si="6"/>
        <v/>
      </c>
      <c r="AO26" s="21" t="str">
        <f t="shared" si="7"/>
        <v/>
      </c>
      <c r="AP26" s="21" t="str">
        <f t="shared" si="8"/>
        <v/>
      </c>
      <c r="AQ26" s="21" t="str">
        <f t="shared" si="9"/>
        <v/>
      </c>
      <c r="AR26" s="21" t="str">
        <f t="shared" si="10"/>
        <v/>
      </c>
      <c r="AS26" s="21" t="str">
        <f t="shared" si="11"/>
        <v/>
      </c>
      <c r="AT26" s="23" t="str">
        <f t="shared" si="12"/>
        <v/>
      </c>
      <c r="AU26" s="36" t="str">
        <f t="shared" si="13"/>
        <v/>
      </c>
      <c r="AV26" s="23" t="str">
        <f t="shared" si="14"/>
        <v>KEY_6</v>
      </c>
      <c r="AW26" s="23" t="str">
        <f t="shared" si="15"/>
        <v>KEY_T</v>
      </c>
      <c r="AX26" s="23" t="str">
        <f t="shared" si="16"/>
        <v>KEY_Z</v>
      </c>
      <c r="AY26" s="23" t="str">
        <f t="shared" si="1"/>
        <v>KEY_X</v>
      </c>
      <c r="AZ26" s="23" t="str">
        <f t="shared" si="17"/>
        <v/>
      </c>
      <c r="BA26" s="20" t="str">
        <f t="shared" si="18"/>
        <v/>
      </c>
      <c r="BB26" s="23" t="str">
        <f t="shared" si="19"/>
        <v>KEY_C</v>
      </c>
      <c r="BC26" s="9">
        <f t="shared" si="20"/>
        <v>0</v>
      </c>
      <c r="BD26" s="23" t="str">
        <f t="shared" si="21"/>
        <v>KEY_F</v>
      </c>
      <c r="BE26" s="23" t="str">
        <f t="shared" si="22"/>
        <v>KEY_F7</v>
      </c>
      <c r="BF26" s="23" t="str">
        <f t="shared" si="23"/>
        <v/>
      </c>
      <c r="BG26" s="23" t="str">
        <f t="shared" si="24"/>
        <v/>
      </c>
      <c r="BH26" s="23" t="str">
        <f t="shared" si="2"/>
        <v/>
      </c>
    </row>
    <row r="27" spans="2:60" ht="43.2" x14ac:dyDescent="0.3">
      <c r="B27" s="1" t="s">
        <v>15</v>
      </c>
      <c r="C27" s="1" t="s">
        <v>16</v>
      </c>
      <c r="D27" s="1" t="s">
        <v>2</v>
      </c>
      <c r="H27" s="4" t="s">
        <v>96</v>
      </c>
      <c r="I27" s="10">
        <v>38</v>
      </c>
      <c r="J27" s="44"/>
      <c r="K27" s="44" t="s">
        <v>68</v>
      </c>
      <c r="L27" s="54" t="s">
        <v>92</v>
      </c>
      <c r="M27" s="59" t="s">
        <v>93</v>
      </c>
      <c r="N27" s="44"/>
      <c r="O27" s="44"/>
      <c r="P27" s="44"/>
      <c r="Q27" s="44" t="s">
        <v>87</v>
      </c>
      <c r="R27" s="44"/>
      <c r="S27" s="64"/>
      <c r="T27" s="65"/>
      <c r="U27" s="64"/>
      <c r="V27" s="64"/>
      <c r="W27" s="64"/>
      <c r="X27" s="64"/>
      <c r="Y27" s="64" t="s">
        <v>88</v>
      </c>
      <c r="Z27" s="64" t="s">
        <v>47</v>
      </c>
      <c r="AA27" s="43"/>
      <c r="AB27" s="64"/>
      <c r="AC27" s="64"/>
      <c r="AD27" s="64"/>
      <c r="AE27" s="64" t="s">
        <v>29</v>
      </c>
      <c r="AF27" s="64">
        <v>2</v>
      </c>
      <c r="AG27" s="64">
        <v>1</v>
      </c>
      <c r="AJ27" s="10">
        <v>38</v>
      </c>
      <c r="AK27" s="21" t="str">
        <f t="shared" si="3"/>
        <v/>
      </c>
      <c r="AL27" s="21" t="str">
        <f t="shared" si="4"/>
        <v>KEY_RIGHT_BRACE</v>
      </c>
      <c r="AM27" s="12" t="str">
        <f t="shared" si="5"/>
        <v>KEY_END</v>
      </c>
      <c r="AN27" s="40" t="str">
        <f t="shared" si="6"/>
        <v>KEY_RIGHT</v>
      </c>
      <c r="AO27" s="21" t="str">
        <f t="shared" si="7"/>
        <v/>
      </c>
      <c r="AP27" s="21" t="str">
        <f t="shared" si="8"/>
        <v/>
      </c>
      <c r="AQ27" s="21" t="str">
        <f t="shared" si="9"/>
        <v/>
      </c>
      <c r="AR27" s="21" t="str">
        <f t="shared" si="10"/>
        <v>KEY_K</v>
      </c>
      <c r="AS27" s="21" t="str">
        <f t="shared" si="11"/>
        <v/>
      </c>
      <c r="AT27" s="23" t="str">
        <f t="shared" si="12"/>
        <v/>
      </c>
      <c r="AU27" s="36" t="str">
        <f t="shared" si="13"/>
        <v/>
      </c>
      <c r="AV27" s="23" t="str">
        <f t="shared" si="14"/>
        <v/>
      </c>
      <c r="AW27" s="23" t="str">
        <f t="shared" si="15"/>
        <v/>
      </c>
      <c r="AX27" s="23" t="str">
        <f t="shared" si="16"/>
        <v/>
      </c>
      <c r="AY27" s="23" t="str">
        <f t="shared" si="1"/>
        <v/>
      </c>
      <c r="AZ27" s="23" t="str">
        <f t="shared" si="17"/>
        <v>KEY_V</v>
      </c>
      <c r="BA27" s="23" t="str">
        <f t="shared" si="18"/>
        <v>KEY_C</v>
      </c>
      <c r="BB27" s="20" t="str">
        <f t="shared" si="19"/>
        <v/>
      </c>
      <c r="BC27" s="23" t="str">
        <f t="shared" si="20"/>
        <v/>
      </c>
      <c r="BD27" s="23" t="str">
        <f t="shared" si="21"/>
        <v/>
      </c>
      <c r="BE27" s="23" t="str">
        <f t="shared" si="22"/>
        <v/>
      </c>
      <c r="BF27" s="23" t="str">
        <f t="shared" si="23"/>
        <v>KEY_R</v>
      </c>
      <c r="BG27" s="23" t="str">
        <f t="shared" si="24"/>
        <v>KEY_2</v>
      </c>
      <c r="BH27" s="23" t="str">
        <f t="shared" si="2"/>
        <v>KEY_1</v>
      </c>
    </row>
    <row r="28" spans="2:60" ht="43.2" x14ac:dyDescent="0.3">
      <c r="B28" s="1" t="s">
        <v>15</v>
      </c>
      <c r="C28" s="1" t="s">
        <v>2</v>
      </c>
      <c r="D28" s="1" t="s">
        <v>16</v>
      </c>
      <c r="H28" s="4" t="s">
        <v>96</v>
      </c>
      <c r="I28" s="10">
        <v>40</v>
      </c>
      <c r="J28" s="48" t="s">
        <v>27</v>
      </c>
      <c r="K28" s="52" t="s">
        <v>64</v>
      </c>
      <c r="L28" s="44">
        <v>0</v>
      </c>
      <c r="M28" s="44" t="s">
        <v>33</v>
      </c>
      <c r="N28" s="44"/>
      <c r="O28" s="44"/>
      <c r="P28" s="44"/>
      <c r="Q28" s="44" t="s">
        <v>32</v>
      </c>
      <c r="R28" s="44"/>
      <c r="S28" s="64"/>
      <c r="T28" s="65"/>
      <c r="U28" s="64"/>
      <c r="V28" s="64"/>
      <c r="W28" s="64"/>
      <c r="X28" s="64"/>
      <c r="Y28" s="64" t="s">
        <v>48</v>
      </c>
      <c r="Z28" s="71" t="s">
        <v>104</v>
      </c>
      <c r="AA28" s="64"/>
      <c r="AB28" s="43"/>
      <c r="AC28" s="64"/>
      <c r="AD28" s="64"/>
      <c r="AE28" s="64" t="s">
        <v>28</v>
      </c>
      <c r="AF28" s="64" t="s">
        <v>66</v>
      </c>
      <c r="AG28" s="72" t="s">
        <v>76</v>
      </c>
      <c r="AJ28" s="10">
        <v>40</v>
      </c>
      <c r="AK28" s="24" t="str">
        <f t="shared" si="3"/>
        <v>KEY_BACKSPACE</v>
      </c>
      <c r="AL28" s="25" t="str">
        <f t="shared" si="4"/>
        <v>KEY_HOME</v>
      </c>
      <c r="AM28" s="21" t="str">
        <f t="shared" si="5"/>
        <v>KEY_0</v>
      </c>
      <c r="AN28" s="21" t="str">
        <f t="shared" si="6"/>
        <v>KEY_P</v>
      </c>
      <c r="AO28" s="21" t="str">
        <f t="shared" si="7"/>
        <v/>
      </c>
      <c r="AP28" s="21" t="str">
        <f t="shared" si="8"/>
        <v/>
      </c>
      <c r="AQ28" s="21" t="str">
        <f t="shared" si="9"/>
        <v/>
      </c>
      <c r="AR28" s="21" t="str">
        <f t="shared" si="10"/>
        <v>KEY_O</v>
      </c>
      <c r="AS28" s="21" t="str">
        <f t="shared" si="11"/>
        <v/>
      </c>
      <c r="AT28" s="23" t="str">
        <f t="shared" si="12"/>
        <v/>
      </c>
      <c r="AU28" s="36" t="str">
        <f t="shared" si="13"/>
        <v/>
      </c>
      <c r="AV28" s="23" t="str">
        <f t="shared" si="14"/>
        <v/>
      </c>
      <c r="AW28" s="23" t="str">
        <f t="shared" si="15"/>
        <v/>
      </c>
      <c r="AX28" s="23" t="str">
        <f t="shared" si="16"/>
        <v/>
      </c>
      <c r="AY28" s="23" t="str">
        <f t="shared" si="1"/>
        <v/>
      </c>
      <c r="AZ28" s="23" t="str">
        <f t="shared" si="17"/>
        <v>KEY_B</v>
      </c>
      <c r="BA28" s="9">
        <f t="shared" si="18"/>
        <v>0</v>
      </c>
      <c r="BB28" s="23" t="str">
        <f t="shared" si="19"/>
        <v/>
      </c>
      <c r="BC28" s="20" t="str">
        <f t="shared" si="20"/>
        <v/>
      </c>
      <c r="BD28" s="23" t="str">
        <f t="shared" si="21"/>
        <v/>
      </c>
      <c r="BE28" s="23" t="str">
        <f t="shared" si="22"/>
        <v/>
      </c>
      <c r="BF28" s="23" t="str">
        <f t="shared" si="23"/>
        <v>KEY_E</v>
      </c>
      <c r="BG28" s="23" t="str">
        <f t="shared" si="24"/>
        <v>KEY_W</v>
      </c>
      <c r="BH28" s="42" t="str">
        <f t="shared" si="2"/>
        <v>KEY_CAPS_LOCK</v>
      </c>
    </row>
    <row r="29" spans="2:60" ht="43.2" x14ac:dyDescent="0.3">
      <c r="B29" s="1" t="s">
        <v>17</v>
      </c>
      <c r="C29" s="1" t="s">
        <v>16</v>
      </c>
      <c r="D29" s="1" t="s">
        <v>0</v>
      </c>
      <c r="H29" s="4" t="s">
        <v>96</v>
      </c>
      <c r="I29" s="10">
        <v>42</v>
      </c>
      <c r="J29" s="44" t="s">
        <v>26</v>
      </c>
      <c r="K29" s="44" t="s">
        <v>63</v>
      </c>
      <c r="L29" s="44">
        <v>9</v>
      </c>
      <c r="M29" s="44">
        <v>8</v>
      </c>
      <c r="N29" s="44"/>
      <c r="O29" s="44"/>
      <c r="P29" s="44"/>
      <c r="Q29" s="44" t="s">
        <v>31</v>
      </c>
      <c r="R29" s="44"/>
      <c r="S29" s="64"/>
      <c r="T29" s="65"/>
      <c r="U29" s="64"/>
      <c r="V29" s="64"/>
      <c r="W29" s="64"/>
      <c r="X29" s="64"/>
      <c r="Y29" s="64" t="s">
        <v>38</v>
      </c>
      <c r="Z29" s="64" t="s">
        <v>36</v>
      </c>
      <c r="AA29" s="64"/>
      <c r="AB29" s="64"/>
      <c r="AC29" s="43"/>
      <c r="AD29" s="64"/>
      <c r="AE29" s="64">
        <v>4</v>
      </c>
      <c r="AF29" s="64">
        <v>3</v>
      </c>
      <c r="AG29" s="73" t="s">
        <v>85</v>
      </c>
      <c r="AJ29" s="10">
        <v>42</v>
      </c>
      <c r="AK29" s="21" t="str">
        <f t="shared" si="3"/>
        <v>KEY_EQUAL</v>
      </c>
      <c r="AL29" s="21" t="str">
        <f t="shared" si="4"/>
        <v>KEY_MINUS</v>
      </c>
      <c r="AM29" s="21" t="str">
        <f t="shared" si="5"/>
        <v>KEY_9</v>
      </c>
      <c r="AN29" s="21" t="str">
        <f t="shared" si="6"/>
        <v>KEY_8</v>
      </c>
      <c r="AO29" s="21" t="str">
        <f t="shared" si="7"/>
        <v/>
      </c>
      <c r="AP29" s="21" t="str">
        <f t="shared" si="8"/>
        <v/>
      </c>
      <c r="AQ29" s="21" t="str">
        <f t="shared" si="9"/>
        <v/>
      </c>
      <c r="AR29" s="21" t="str">
        <f t="shared" si="10"/>
        <v>KEY_I</v>
      </c>
      <c r="AS29" s="21" t="str">
        <f t="shared" si="11"/>
        <v/>
      </c>
      <c r="AT29" s="23" t="str">
        <f t="shared" si="12"/>
        <v/>
      </c>
      <c r="AU29" s="36" t="str">
        <f t="shared" si="13"/>
        <v/>
      </c>
      <c r="AV29" s="23" t="str">
        <f t="shared" si="14"/>
        <v/>
      </c>
      <c r="AW29" s="23" t="str">
        <f t="shared" si="15"/>
        <v/>
      </c>
      <c r="AX29" s="23" t="str">
        <f t="shared" si="16"/>
        <v/>
      </c>
      <c r="AY29" s="23" t="str">
        <f t="shared" si="1"/>
        <v/>
      </c>
      <c r="AZ29" s="23" t="str">
        <f t="shared" si="17"/>
        <v>KEY_H</v>
      </c>
      <c r="BA29" s="23" t="str">
        <f t="shared" si="18"/>
        <v>KEY_F</v>
      </c>
      <c r="BB29" s="23" t="str">
        <f t="shared" si="19"/>
        <v/>
      </c>
      <c r="BC29" s="23" t="str">
        <f t="shared" si="20"/>
        <v/>
      </c>
      <c r="BD29" s="20" t="str">
        <f t="shared" si="21"/>
        <v/>
      </c>
      <c r="BE29" s="23" t="str">
        <f t="shared" si="22"/>
        <v/>
      </c>
      <c r="BF29" s="23" t="str">
        <f t="shared" si="23"/>
        <v>KEY_4</v>
      </c>
      <c r="BG29" s="23" t="str">
        <f t="shared" si="24"/>
        <v>KEY_3</v>
      </c>
      <c r="BH29" s="41" t="str">
        <f t="shared" si="2"/>
        <v>KEY_TAB</v>
      </c>
    </row>
    <row r="30" spans="2:60" ht="43.2" x14ac:dyDescent="0.3">
      <c r="B30" s="1" t="s">
        <v>17</v>
      </c>
      <c r="C30" s="1" t="s">
        <v>0</v>
      </c>
      <c r="D30" s="1" t="s">
        <v>16</v>
      </c>
      <c r="H30" s="4" t="s">
        <v>96</v>
      </c>
      <c r="I30" s="10">
        <v>44</v>
      </c>
      <c r="J30" s="49" t="s">
        <v>19</v>
      </c>
      <c r="K30" s="53" t="s">
        <v>61</v>
      </c>
      <c r="L30" s="44" t="s">
        <v>15</v>
      </c>
      <c r="M30" s="60" t="s">
        <v>83</v>
      </c>
      <c r="N30" s="44"/>
      <c r="O30" s="44"/>
      <c r="P30" s="44"/>
      <c r="Q30" s="44" t="s">
        <v>13</v>
      </c>
      <c r="R30" s="44"/>
      <c r="S30" s="64"/>
      <c r="T30" s="65"/>
      <c r="U30" s="64"/>
      <c r="V30" s="64"/>
      <c r="W30" s="64"/>
      <c r="X30" s="64"/>
      <c r="Y30" s="64">
        <v>7</v>
      </c>
      <c r="Z30" s="64" t="s">
        <v>12</v>
      </c>
      <c r="AA30" s="64"/>
      <c r="AB30" s="64"/>
      <c r="AC30" s="64"/>
      <c r="AD30" s="43"/>
      <c r="AE30" s="64" t="s">
        <v>75</v>
      </c>
      <c r="AF30" s="64" t="s">
        <v>74</v>
      </c>
      <c r="AG30" s="64" t="s">
        <v>73</v>
      </c>
      <c r="AJ30" s="10">
        <v>44</v>
      </c>
      <c r="AK30" s="14" t="str">
        <f t="shared" si="3"/>
        <v>KEY_PAUSE</v>
      </c>
      <c r="AL30" s="13" t="str">
        <f t="shared" si="4"/>
        <v>KEY_F12</v>
      </c>
      <c r="AM30" s="21" t="str">
        <f t="shared" si="5"/>
        <v>KEY_F9</v>
      </c>
      <c r="AN30" s="17" t="str">
        <f t="shared" si="6"/>
        <v>KEY_DELETE</v>
      </c>
      <c r="AO30" s="21" t="str">
        <f t="shared" si="7"/>
        <v/>
      </c>
      <c r="AP30" s="21" t="str">
        <f t="shared" si="8"/>
        <v/>
      </c>
      <c r="AQ30" s="21" t="str">
        <f t="shared" si="9"/>
        <v/>
      </c>
      <c r="AR30" s="21" t="str">
        <f t="shared" si="10"/>
        <v>KEY_F8</v>
      </c>
      <c r="AS30" s="21" t="str">
        <f t="shared" si="11"/>
        <v/>
      </c>
      <c r="AT30" s="23" t="str">
        <f t="shared" si="12"/>
        <v/>
      </c>
      <c r="AU30" s="36" t="str">
        <f t="shared" si="13"/>
        <v/>
      </c>
      <c r="AV30" s="23" t="str">
        <f t="shared" si="14"/>
        <v/>
      </c>
      <c r="AW30" s="23" t="str">
        <f t="shared" si="15"/>
        <v/>
      </c>
      <c r="AX30" s="23" t="str">
        <f t="shared" si="16"/>
        <v/>
      </c>
      <c r="AY30" s="23" t="str">
        <f t="shared" si="1"/>
        <v/>
      </c>
      <c r="AZ30" s="23" t="str">
        <f t="shared" si="17"/>
        <v>KEY_7</v>
      </c>
      <c r="BA30" s="23" t="str">
        <f t="shared" si="18"/>
        <v>KEY_F7</v>
      </c>
      <c r="BB30" s="23" t="str">
        <f t="shared" si="19"/>
        <v/>
      </c>
      <c r="BC30" s="23" t="str">
        <f t="shared" si="20"/>
        <v/>
      </c>
      <c r="BD30" s="23" t="str">
        <f t="shared" si="21"/>
        <v/>
      </c>
      <c r="BE30" s="20" t="str">
        <f t="shared" si="22"/>
        <v/>
      </c>
      <c r="BF30" s="23" t="str">
        <f t="shared" si="23"/>
        <v>KEY_F6</v>
      </c>
      <c r="BG30" s="23" t="str">
        <f t="shared" si="24"/>
        <v>KEY_F2</v>
      </c>
      <c r="BH30" s="23" t="str">
        <f t="shared" si="2"/>
        <v>KEY_F1</v>
      </c>
    </row>
    <row r="31" spans="2:60" ht="43.2" x14ac:dyDescent="0.3">
      <c r="B31" s="1" t="s">
        <v>60</v>
      </c>
      <c r="C31" s="1" t="s">
        <v>62</v>
      </c>
      <c r="D31" s="1" t="s">
        <v>0</v>
      </c>
      <c r="H31" s="4" t="s">
        <v>96</v>
      </c>
      <c r="I31" s="10">
        <v>46</v>
      </c>
      <c r="J31" s="44"/>
      <c r="K31" s="44"/>
      <c r="L31" s="44"/>
      <c r="M31" s="44"/>
      <c r="N31" s="44"/>
      <c r="O31" s="44"/>
      <c r="P31" s="44"/>
      <c r="Q31" s="44"/>
      <c r="R31" s="44"/>
      <c r="S31" s="64"/>
      <c r="T31" s="65"/>
      <c r="U31" s="64" t="s">
        <v>81</v>
      </c>
      <c r="V31" s="64">
        <v>5</v>
      </c>
      <c r="W31" s="64" t="s">
        <v>35</v>
      </c>
      <c r="X31" s="64" t="s">
        <v>86</v>
      </c>
      <c r="Y31" s="64"/>
      <c r="Z31" s="64"/>
      <c r="AA31" s="64" t="s">
        <v>29</v>
      </c>
      <c r="AB31" s="64" t="s">
        <v>28</v>
      </c>
      <c r="AC31" s="64">
        <v>4</v>
      </c>
      <c r="AD31" s="64" t="s">
        <v>75</v>
      </c>
      <c r="AE31" s="43"/>
      <c r="AF31" s="64"/>
      <c r="AG31" s="64"/>
      <c r="AJ31" s="10">
        <v>46</v>
      </c>
      <c r="AK31" s="21" t="str">
        <f t="shared" si="3"/>
        <v/>
      </c>
      <c r="AL31" s="21" t="str">
        <f t="shared" si="4"/>
        <v/>
      </c>
      <c r="AM31" s="21" t="str">
        <f t="shared" si="5"/>
        <v/>
      </c>
      <c r="AN31" s="21" t="str">
        <f t="shared" si="6"/>
        <v/>
      </c>
      <c r="AO31" s="21" t="str">
        <f t="shared" si="7"/>
        <v/>
      </c>
      <c r="AP31" s="21" t="str">
        <f t="shared" si="8"/>
        <v/>
      </c>
      <c r="AQ31" s="21" t="str">
        <f t="shared" si="9"/>
        <v/>
      </c>
      <c r="AR31" s="21" t="str">
        <f t="shared" si="10"/>
        <v/>
      </c>
      <c r="AS31" s="21" t="str">
        <f t="shared" si="11"/>
        <v/>
      </c>
      <c r="AT31" s="23" t="str">
        <f t="shared" si="12"/>
        <v/>
      </c>
      <c r="AU31" s="36" t="str">
        <f t="shared" si="13"/>
        <v/>
      </c>
      <c r="AV31" s="23" t="str">
        <f t="shared" si="14"/>
        <v>KEY_F5</v>
      </c>
      <c r="AW31" s="23" t="str">
        <f t="shared" si="15"/>
        <v>KEY_5</v>
      </c>
      <c r="AX31" s="23" t="str">
        <f t="shared" si="16"/>
        <v>KEY_S</v>
      </c>
      <c r="AY31" s="23" t="str">
        <f t="shared" si="1"/>
        <v>KEY_D</v>
      </c>
      <c r="AZ31" s="23" t="str">
        <f t="shared" si="17"/>
        <v/>
      </c>
      <c r="BA31" s="23" t="str">
        <f t="shared" si="18"/>
        <v/>
      </c>
      <c r="BB31" s="23" t="str">
        <f t="shared" si="19"/>
        <v>KEY_R</v>
      </c>
      <c r="BC31" s="23" t="str">
        <f t="shared" si="20"/>
        <v>KEY_E</v>
      </c>
      <c r="BD31" s="23" t="str">
        <f t="shared" si="21"/>
        <v>KEY_4</v>
      </c>
      <c r="BE31" s="23" t="str">
        <f t="shared" si="22"/>
        <v>KEY_F6</v>
      </c>
      <c r="BF31" s="20" t="str">
        <f t="shared" si="23"/>
        <v/>
      </c>
      <c r="BG31" s="23" t="str">
        <f t="shared" si="24"/>
        <v/>
      </c>
      <c r="BH31" s="23" t="str">
        <f t="shared" si="2"/>
        <v/>
      </c>
    </row>
    <row r="32" spans="2:60" ht="43.2" x14ac:dyDescent="0.3">
      <c r="B32" s="1" t="s">
        <v>60</v>
      </c>
      <c r="C32" s="1" t="s">
        <v>0</v>
      </c>
      <c r="D32" s="1" t="s">
        <v>62</v>
      </c>
      <c r="H32" s="4" t="s">
        <v>96</v>
      </c>
      <c r="I32" s="10">
        <v>48</v>
      </c>
      <c r="J32" s="44"/>
      <c r="K32" s="44"/>
      <c r="L32" s="44"/>
      <c r="M32" s="44"/>
      <c r="N32" s="44"/>
      <c r="O32" s="44"/>
      <c r="P32" s="44"/>
      <c r="Q32" s="44"/>
      <c r="R32" s="44"/>
      <c r="S32" s="64"/>
      <c r="T32" s="65"/>
      <c r="U32" s="64" t="s">
        <v>59</v>
      </c>
      <c r="V32" s="64" t="s">
        <v>80</v>
      </c>
      <c r="W32" s="64" t="s">
        <v>69</v>
      </c>
      <c r="X32" s="64" t="s">
        <v>65</v>
      </c>
      <c r="Y32" s="64"/>
      <c r="Z32" s="64"/>
      <c r="AA32" s="64">
        <v>2</v>
      </c>
      <c r="AB32" s="64" t="s">
        <v>66</v>
      </c>
      <c r="AC32" s="64">
        <v>3</v>
      </c>
      <c r="AD32" s="64" t="s">
        <v>74</v>
      </c>
      <c r="AE32" s="64"/>
      <c r="AF32" s="43"/>
      <c r="AG32" s="64"/>
      <c r="AJ32" s="10">
        <v>48</v>
      </c>
      <c r="AK32" s="21" t="str">
        <f t="shared" si="3"/>
        <v/>
      </c>
      <c r="AL32" s="21" t="str">
        <f t="shared" si="4"/>
        <v/>
      </c>
      <c r="AM32" s="21" t="str">
        <f t="shared" si="5"/>
        <v/>
      </c>
      <c r="AN32" s="21" t="str">
        <f t="shared" si="6"/>
        <v/>
      </c>
      <c r="AO32" s="21" t="str">
        <f t="shared" si="7"/>
        <v/>
      </c>
      <c r="AP32" s="21" t="str">
        <f t="shared" si="8"/>
        <v/>
      </c>
      <c r="AQ32" s="21" t="str">
        <f t="shared" si="9"/>
        <v/>
      </c>
      <c r="AR32" s="21" t="str">
        <f t="shared" si="10"/>
        <v/>
      </c>
      <c r="AS32" s="21" t="str">
        <f t="shared" si="11"/>
        <v/>
      </c>
      <c r="AT32" s="23" t="str">
        <f t="shared" si="12"/>
        <v/>
      </c>
      <c r="AU32" s="36" t="str">
        <f t="shared" si="13"/>
        <v/>
      </c>
      <c r="AV32" s="23" t="str">
        <f t="shared" si="14"/>
        <v>KEY_F4</v>
      </c>
      <c r="AW32" s="23" t="str">
        <f t="shared" si="15"/>
        <v>KEY_F3</v>
      </c>
      <c r="AX32" s="23" t="str">
        <f t="shared" si="16"/>
        <v>KEY_A</v>
      </c>
      <c r="AY32" s="23" t="str">
        <f t="shared" si="1"/>
        <v>KEY_Q</v>
      </c>
      <c r="AZ32" s="23" t="str">
        <f t="shared" si="17"/>
        <v/>
      </c>
      <c r="BA32" s="23" t="str">
        <f t="shared" si="18"/>
        <v/>
      </c>
      <c r="BB32" s="23" t="str">
        <f t="shared" si="19"/>
        <v>KEY_2</v>
      </c>
      <c r="BC32" s="23" t="str">
        <f t="shared" si="20"/>
        <v>KEY_W</v>
      </c>
      <c r="BD32" s="23" t="str">
        <f t="shared" si="21"/>
        <v>KEY_3</v>
      </c>
      <c r="BE32" s="23" t="str">
        <f t="shared" si="22"/>
        <v>KEY_F2</v>
      </c>
      <c r="BF32" s="23" t="str">
        <f t="shared" si="23"/>
        <v/>
      </c>
      <c r="BG32" s="20" t="str">
        <f t="shared" si="24"/>
        <v/>
      </c>
      <c r="BH32" s="23" t="str">
        <f t="shared" si="2"/>
        <v/>
      </c>
    </row>
    <row r="33" spans="2:60" ht="43.2" x14ac:dyDescent="0.3">
      <c r="B33" s="1" t="s">
        <v>61</v>
      </c>
      <c r="C33" s="1" t="s">
        <v>62</v>
      </c>
      <c r="D33" s="1" t="s">
        <v>2</v>
      </c>
      <c r="H33" s="4" t="s">
        <v>96</v>
      </c>
      <c r="I33" s="10">
        <v>50</v>
      </c>
      <c r="J33" s="44"/>
      <c r="K33" s="44"/>
      <c r="L33" s="44"/>
      <c r="M33" s="44"/>
      <c r="N33" s="44"/>
      <c r="O33" s="44"/>
      <c r="P33" s="44"/>
      <c r="Q33" s="44"/>
      <c r="R33" s="44"/>
      <c r="S33" s="64"/>
      <c r="T33" s="65"/>
      <c r="U33" s="69" t="s">
        <v>79</v>
      </c>
      <c r="V33" s="64" t="s">
        <v>84</v>
      </c>
      <c r="W33" s="64" t="s">
        <v>51</v>
      </c>
      <c r="X33" s="64" t="s">
        <v>49</v>
      </c>
      <c r="Y33" s="64"/>
      <c r="Z33" s="64"/>
      <c r="AA33" s="64">
        <v>1</v>
      </c>
      <c r="AB33" s="72" t="s">
        <v>76</v>
      </c>
      <c r="AC33" s="73" t="s">
        <v>85</v>
      </c>
      <c r="AD33" s="64" t="s">
        <v>73</v>
      </c>
      <c r="AE33" s="64"/>
      <c r="AF33" s="64"/>
      <c r="AG33" s="43"/>
      <c r="AJ33" s="10">
        <v>50</v>
      </c>
      <c r="AK33" s="21" t="str">
        <f t="shared" si="3"/>
        <v/>
      </c>
      <c r="AL33" s="21" t="str">
        <f t="shared" si="4"/>
        <v/>
      </c>
      <c r="AM33" s="21" t="str">
        <f t="shared" si="5"/>
        <v/>
      </c>
      <c r="AN33" s="21" t="str">
        <f t="shared" si="6"/>
        <v/>
      </c>
      <c r="AO33" s="21" t="str">
        <f t="shared" si="7"/>
        <v/>
      </c>
      <c r="AP33" s="21" t="str">
        <f t="shared" si="8"/>
        <v/>
      </c>
      <c r="AQ33" s="21" t="str">
        <f t="shared" si="9"/>
        <v/>
      </c>
      <c r="AR33" s="21" t="str">
        <f t="shared" si="10"/>
        <v/>
      </c>
      <c r="AS33" s="21" t="str">
        <f t="shared" si="11"/>
        <v/>
      </c>
      <c r="AT33" s="23" t="str">
        <f t="shared" si="12"/>
        <v/>
      </c>
      <c r="AU33" s="36" t="str">
        <f t="shared" si="13"/>
        <v/>
      </c>
      <c r="AV33" s="31" t="str">
        <f t="shared" si="14"/>
        <v>KEY_ESC</v>
      </c>
      <c r="AW33" s="23" t="str">
        <f t="shared" si="15"/>
        <v>KEY_TILDE</v>
      </c>
      <c r="AX33" s="23" t="str">
        <f t="shared" si="16"/>
        <v>0</v>
      </c>
      <c r="AY33" s="23" t="str">
        <f t="shared" si="1"/>
        <v>KEY_M</v>
      </c>
      <c r="AZ33" s="23" t="str">
        <f t="shared" si="17"/>
        <v/>
      </c>
      <c r="BA33" s="23" t="str">
        <f t="shared" si="18"/>
        <v/>
      </c>
      <c r="BB33" s="23" t="str">
        <f t="shared" si="19"/>
        <v>KEY_1</v>
      </c>
      <c r="BC33" s="42" t="str">
        <f t="shared" si="20"/>
        <v>KEY_CAPS_LOCK</v>
      </c>
      <c r="BD33" s="41" t="str">
        <f t="shared" si="21"/>
        <v>KEY_TAB</v>
      </c>
      <c r="BE33" s="21" t="str">
        <f t="shared" si="22"/>
        <v>KEY_F1</v>
      </c>
      <c r="BF33" s="23" t="str">
        <f t="shared" si="23"/>
        <v/>
      </c>
      <c r="BG33" s="23" t="str">
        <f t="shared" si="24"/>
        <v/>
      </c>
      <c r="BH33" s="20" t="str">
        <f t="shared" si="2"/>
        <v/>
      </c>
    </row>
    <row r="34" spans="2:60" x14ac:dyDescent="0.3">
      <c r="B34" s="1" t="s">
        <v>61</v>
      </c>
      <c r="C34" s="1" t="s">
        <v>2</v>
      </c>
      <c r="D34" s="1" t="s">
        <v>62</v>
      </c>
      <c r="AE34" s="11"/>
    </row>
    <row r="35" spans="2:60" x14ac:dyDescent="0.3">
      <c r="B35" s="1" t="s">
        <v>19</v>
      </c>
      <c r="C35" s="1" t="s">
        <v>20</v>
      </c>
      <c r="D35" s="1" t="s">
        <v>2</v>
      </c>
      <c r="G35" s="18"/>
      <c r="H35" s="19"/>
      <c r="AE35" s="11"/>
      <c r="AK35" s="74"/>
    </row>
    <row r="36" spans="2:60" x14ac:dyDescent="0.3">
      <c r="B36" s="1" t="s">
        <v>19</v>
      </c>
      <c r="C36" s="1" t="s">
        <v>2</v>
      </c>
      <c r="D36" s="1" t="s">
        <v>20</v>
      </c>
    </row>
    <row r="37" spans="2:60" x14ac:dyDescent="0.3">
      <c r="B37" s="1" t="s">
        <v>97</v>
      </c>
      <c r="C37" s="1" t="s">
        <v>20</v>
      </c>
      <c r="D37" s="1" t="s">
        <v>0</v>
      </c>
    </row>
    <row r="38" spans="2:60" x14ac:dyDescent="0.3">
      <c r="B38" s="1" t="s">
        <v>97</v>
      </c>
      <c r="C38" s="1" t="s">
        <v>0</v>
      </c>
      <c r="D38" s="1" t="s">
        <v>20</v>
      </c>
    </row>
    <row r="39" spans="2:60" x14ac:dyDescent="0.3">
      <c r="B39" s="1" t="s">
        <v>82</v>
      </c>
      <c r="C39" s="1" t="s">
        <v>21</v>
      </c>
      <c r="D39" s="1" t="s">
        <v>0</v>
      </c>
      <c r="G39" s="1"/>
      <c r="H39" s="1"/>
    </row>
    <row r="40" spans="2:60" x14ac:dyDescent="0.3">
      <c r="B40" s="1" t="s">
        <v>82</v>
      </c>
      <c r="C40" s="1" t="s">
        <v>0</v>
      </c>
      <c r="D40" s="1" t="s">
        <v>21</v>
      </c>
      <c r="G40" s="1"/>
    </row>
    <row r="41" spans="2:60" x14ac:dyDescent="0.3">
      <c r="B41" s="1" t="s">
        <v>83</v>
      </c>
      <c r="C41" s="1" t="s">
        <v>21</v>
      </c>
      <c r="D41" s="1" t="s">
        <v>2</v>
      </c>
      <c r="G41" s="1"/>
    </row>
    <row r="42" spans="2:60" x14ac:dyDescent="0.3">
      <c r="B42" s="1" t="s">
        <v>83</v>
      </c>
      <c r="C42" s="1" t="s">
        <v>2</v>
      </c>
      <c r="D42" s="1" t="s">
        <v>21</v>
      </c>
      <c r="G42" s="1"/>
      <c r="H42" s="1"/>
    </row>
    <row r="43" spans="2:60" x14ac:dyDescent="0.3">
      <c r="B43" s="1" t="s">
        <v>84</v>
      </c>
      <c r="C43" s="1" t="s">
        <v>5</v>
      </c>
      <c r="D43" s="1" t="s">
        <v>1</v>
      </c>
    </row>
    <row r="44" spans="2:60" x14ac:dyDescent="0.3">
      <c r="B44" s="1" t="s">
        <v>84</v>
      </c>
      <c r="C44" s="1" t="s">
        <v>1</v>
      </c>
      <c r="D44" s="1" t="s">
        <v>5</v>
      </c>
      <c r="G44" s="1"/>
      <c r="H44" s="1"/>
    </row>
    <row r="45" spans="2:60" x14ac:dyDescent="0.3">
      <c r="B45" s="1" t="s">
        <v>22</v>
      </c>
      <c r="C45" s="1" t="s">
        <v>9</v>
      </c>
      <c r="D45" s="1" t="s">
        <v>1</v>
      </c>
      <c r="G45" s="1"/>
      <c r="H45" s="1"/>
    </row>
    <row r="46" spans="2:60" x14ac:dyDescent="0.3">
      <c r="B46" s="1" t="s">
        <v>22</v>
      </c>
      <c r="C46" s="1" t="s">
        <v>1</v>
      </c>
      <c r="D46" s="1" t="s">
        <v>9</v>
      </c>
      <c r="G46" s="1"/>
    </row>
    <row r="47" spans="2:60" x14ac:dyDescent="0.3">
      <c r="B47" s="1" t="s">
        <v>20</v>
      </c>
      <c r="C47" s="1" t="s">
        <v>9</v>
      </c>
      <c r="D47" s="1" t="s">
        <v>4</v>
      </c>
    </row>
    <row r="48" spans="2:60" x14ac:dyDescent="0.3">
      <c r="B48" s="1" t="s">
        <v>20</v>
      </c>
      <c r="C48" s="1" t="s">
        <v>4</v>
      </c>
      <c r="D48" s="1" t="s">
        <v>9</v>
      </c>
    </row>
    <row r="49" spans="2:7" x14ac:dyDescent="0.3">
      <c r="B49" s="1" t="s">
        <v>62</v>
      </c>
      <c r="C49" s="1" t="s">
        <v>11</v>
      </c>
      <c r="D49" s="1" t="s">
        <v>4</v>
      </c>
    </row>
    <row r="50" spans="2:7" x14ac:dyDescent="0.3">
      <c r="B50" s="1" t="s">
        <v>62</v>
      </c>
      <c r="C50" s="1" t="s">
        <v>4</v>
      </c>
      <c r="D50" s="1" t="s">
        <v>11</v>
      </c>
    </row>
    <row r="51" spans="2:7" x14ac:dyDescent="0.3">
      <c r="B51" s="1" t="s">
        <v>16</v>
      </c>
      <c r="C51" s="1" t="s">
        <v>11</v>
      </c>
      <c r="D51" s="1" t="s">
        <v>3</v>
      </c>
    </row>
    <row r="52" spans="2:7" x14ac:dyDescent="0.3">
      <c r="B52" s="1" t="s">
        <v>16</v>
      </c>
      <c r="C52" s="1" t="s">
        <v>3</v>
      </c>
      <c r="D52" s="1" t="s">
        <v>11</v>
      </c>
    </row>
    <row r="53" spans="2:7" x14ac:dyDescent="0.3">
      <c r="B53" s="1" t="s">
        <v>21</v>
      </c>
      <c r="C53" s="1" t="s">
        <v>5</v>
      </c>
      <c r="D53" s="1" t="s">
        <v>3</v>
      </c>
    </row>
    <row r="54" spans="2:7" x14ac:dyDescent="0.3">
      <c r="B54" s="1" t="s">
        <v>21</v>
      </c>
      <c r="C54" s="1" t="s">
        <v>3</v>
      </c>
      <c r="D54" s="1" t="s">
        <v>5</v>
      </c>
      <c r="G54" s="1"/>
    </row>
    <row r="55" spans="2:7" x14ac:dyDescent="0.3">
      <c r="B55" s="1" t="s">
        <v>44</v>
      </c>
      <c r="C55" s="1" t="s">
        <v>0</v>
      </c>
      <c r="D55" s="1" t="s">
        <v>8</v>
      </c>
    </row>
    <row r="56" spans="2:7" x14ac:dyDescent="0.3">
      <c r="B56" s="1" t="s">
        <v>44</v>
      </c>
      <c r="C56" s="1" t="s">
        <v>8</v>
      </c>
      <c r="D56" s="1" t="s">
        <v>0</v>
      </c>
    </row>
    <row r="57" spans="2:7" x14ac:dyDescent="0.3">
      <c r="B57" s="1" t="s">
        <v>23</v>
      </c>
      <c r="C57" s="1" t="s">
        <v>7</v>
      </c>
      <c r="D57" s="1" t="s">
        <v>2</v>
      </c>
    </row>
    <row r="58" spans="2:7" x14ac:dyDescent="0.3">
      <c r="B58" s="1" t="s">
        <v>23</v>
      </c>
      <c r="C58" s="1" t="s">
        <v>2</v>
      </c>
      <c r="D58" s="1" t="s">
        <v>7</v>
      </c>
    </row>
    <row r="59" spans="2:7" x14ac:dyDescent="0.3">
      <c r="B59" s="1" t="s">
        <v>24</v>
      </c>
      <c r="C59" s="1" t="s">
        <v>21</v>
      </c>
      <c r="D59" s="1" t="s">
        <v>11</v>
      </c>
    </row>
    <row r="60" spans="2:7" x14ac:dyDescent="0.3">
      <c r="B60" s="1" t="s">
        <v>24</v>
      </c>
      <c r="C60" s="1" t="s">
        <v>11</v>
      </c>
      <c r="D60" s="1" t="s">
        <v>21</v>
      </c>
    </row>
    <row r="61" spans="2:7" x14ac:dyDescent="0.3">
      <c r="B61" s="1" t="s">
        <v>14</v>
      </c>
      <c r="C61" s="1" t="s">
        <v>16</v>
      </c>
      <c r="D61" s="1" t="s">
        <v>11</v>
      </c>
    </row>
    <row r="62" spans="2:7" x14ac:dyDescent="0.3">
      <c r="B62" s="1" t="s">
        <v>14</v>
      </c>
      <c r="C62" s="1" t="s">
        <v>11</v>
      </c>
      <c r="D62" s="1" t="s">
        <v>16</v>
      </c>
    </row>
    <row r="63" spans="2:7" x14ac:dyDescent="0.3">
      <c r="B63" s="1" t="s">
        <v>25</v>
      </c>
      <c r="C63" s="1" t="s">
        <v>16</v>
      </c>
      <c r="D63" s="1" t="s">
        <v>10</v>
      </c>
    </row>
    <row r="64" spans="2:7" x14ac:dyDescent="0.3">
      <c r="B64" s="1" t="s">
        <v>25</v>
      </c>
      <c r="C64" s="1" t="s">
        <v>10</v>
      </c>
      <c r="D64" s="1" t="s">
        <v>16</v>
      </c>
    </row>
    <row r="65" spans="2:7" x14ac:dyDescent="0.3">
      <c r="B65" s="1" t="s">
        <v>63</v>
      </c>
      <c r="C65" s="1" t="s">
        <v>62</v>
      </c>
      <c r="D65" s="1" t="s">
        <v>11</v>
      </c>
    </row>
    <row r="66" spans="2:7" x14ac:dyDescent="0.3">
      <c r="B66" s="1" t="s">
        <v>63</v>
      </c>
      <c r="C66" s="1" t="s">
        <v>11</v>
      </c>
      <c r="D66" s="1" t="s">
        <v>62</v>
      </c>
    </row>
    <row r="67" spans="2:7" x14ac:dyDescent="0.3">
      <c r="B67" s="1" t="s">
        <v>26</v>
      </c>
      <c r="C67" s="1" t="s">
        <v>20</v>
      </c>
      <c r="D67" s="1" t="s">
        <v>11</v>
      </c>
    </row>
    <row r="68" spans="2:7" x14ac:dyDescent="0.3">
      <c r="B68" s="1" t="s">
        <v>26</v>
      </c>
      <c r="C68" s="1" t="s">
        <v>11</v>
      </c>
      <c r="D68" s="1" t="s">
        <v>20</v>
      </c>
    </row>
    <row r="69" spans="2:7" x14ac:dyDescent="0.3">
      <c r="B69" s="1" t="s">
        <v>27</v>
      </c>
      <c r="C69" s="1" t="s">
        <v>20</v>
      </c>
      <c r="D69" s="1" t="s">
        <v>10</v>
      </c>
    </row>
    <row r="70" spans="2:7" x14ac:dyDescent="0.3">
      <c r="B70" s="1" t="s">
        <v>27</v>
      </c>
      <c r="C70" s="1" t="s">
        <v>10</v>
      </c>
      <c r="D70" s="1" t="s">
        <v>20</v>
      </c>
      <c r="F70" s="1" t="s">
        <v>110</v>
      </c>
    </row>
    <row r="71" spans="2:7" x14ac:dyDescent="0.3">
      <c r="B71" s="1" t="s">
        <v>64</v>
      </c>
      <c r="C71" s="1" t="s">
        <v>62</v>
      </c>
      <c r="D71" s="1" t="s">
        <v>10</v>
      </c>
      <c r="F71" s="19" t="s">
        <v>56</v>
      </c>
      <c r="G71" s="19" t="s">
        <v>109</v>
      </c>
    </row>
    <row r="72" spans="2:7" x14ac:dyDescent="0.3">
      <c r="B72" s="1" t="s">
        <v>64</v>
      </c>
      <c r="C72" s="1" t="s">
        <v>10</v>
      </c>
      <c r="D72" s="1" t="s">
        <v>62</v>
      </c>
      <c r="F72" s="1" t="s">
        <v>79</v>
      </c>
      <c r="G72" s="1" t="s">
        <v>111</v>
      </c>
    </row>
    <row r="73" spans="2:7" x14ac:dyDescent="0.3">
      <c r="B73" s="1" t="s">
        <v>85</v>
      </c>
      <c r="C73" s="1" t="s">
        <v>11</v>
      </c>
      <c r="D73" s="1" t="s">
        <v>1</v>
      </c>
      <c r="F73" s="1" t="s">
        <v>73</v>
      </c>
      <c r="G73" s="1" t="s">
        <v>112</v>
      </c>
    </row>
    <row r="74" spans="2:7" x14ac:dyDescent="0.3">
      <c r="B74" s="1" t="s">
        <v>85</v>
      </c>
      <c r="C74" s="1" t="s">
        <v>1</v>
      </c>
      <c r="D74" s="1" t="s">
        <v>11</v>
      </c>
      <c r="F74" s="1" t="s">
        <v>74</v>
      </c>
      <c r="G74" s="1" t="s">
        <v>113</v>
      </c>
    </row>
    <row r="75" spans="2:7" x14ac:dyDescent="0.3">
      <c r="B75" s="1" t="s">
        <v>65</v>
      </c>
      <c r="C75" s="1" t="s">
        <v>6</v>
      </c>
      <c r="D75" s="1" t="s">
        <v>4</v>
      </c>
      <c r="F75" s="1" t="s">
        <v>80</v>
      </c>
      <c r="G75" s="1" t="s">
        <v>114</v>
      </c>
    </row>
    <row r="76" spans="2:7" x14ac:dyDescent="0.3">
      <c r="B76" s="1" t="s">
        <v>65</v>
      </c>
      <c r="C76" s="1" t="s">
        <v>4</v>
      </c>
      <c r="D76" s="1" t="s">
        <v>6</v>
      </c>
      <c r="F76" s="1" t="s">
        <v>59</v>
      </c>
      <c r="G76" s="1" t="s">
        <v>115</v>
      </c>
    </row>
    <row r="77" spans="2:7" x14ac:dyDescent="0.3">
      <c r="B77" s="1" t="s">
        <v>66</v>
      </c>
      <c r="C77" s="1" t="s">
        <v>10</v>
      </c>
      <c r="D77" s="1" t="s">
        <v>4</v>
      </c>
      <c r="F77" s="1" t="s">
        <v>81</v>
      </c>
      <c r="G77" s="1" t="s">
        <v>116</v>
      </c>
    </row>
    <row r="78" spans="2:7" x14ac:dyDescent="0.3">
      <c r="B78" s="1" t="s">
        <v>66</v>
      </c>
      <c r="C78" s="1" t="s">
        <v>4</v>
      </c>
      <c r="D78" s="1" t="s">
        <v>10</v>
      </c>
      <c r="F78" s="1" t="s">
        <v>75</v>
      </c>
      <c r="G78" s="1" t="s">
        <v>117</v>
      </c>
    </row>
    <row r="79" spans="2:7" x14ac:dyDescent="0.3">
      <c r="B79" s="1" t="s">
        <v>28</v>
      </c>
      <c r="C79" s="1" t="s">
        <v>10</v>
      </c>
      <c r="D79" s="1" t="s">
        <v>3</v>
      </c>
      <c r="F79" s="1" t="s">
        <v>12</v>
      </c>
      <c r="G79" s="1" t="s">
        <v>118</v>
      </c>
    </row>
    <row r="80" spans="2:7" x14ac:dyDescent="0.3">
      <c r="B80" s="1" t="s">
        <v>28</v>
      </c>
      <c r="C80" s="1" t="s">
        <v>3</v>
      </c>
      <c r="D80" s="1" t="s">
        <v>10</v>
      </c>
      <c r="F80" s="1" t="s">
        <v>13</v>
      </c>
      <c r="G80" s="1" t="s">
        <v>119</v>
      </c>
    </row>
    <row r="81" spans="2:7" x14ac:dyDescent="0.3">
      <c r="B81" s="1" t="s">
        <v>29</v>
      </c>
      <c r="C81" s="1" t="s">
        <v>9</v>
      </c>
      <c r="D81" s="1" t="s">
        <v>3</v>
      </c>
      <c r="F81" s="1" t="s">
        <v>15</v>
      </c>
      <c r="G81" s="1" t="s">
        <v>120</v>
      </c>
    </row>
    <row r="82" spans="2:7" x14ac:dyDescent="0.3">
      <c r="B82" s="1" t="s">
        <v>29</v>
      </c>
      <c r="C82" s="1" t="s">
        <v>3</v>
      </c>
      <c r="D82" s="1" t="s">
        <v>9</v>
      </c>
      <c r="F82" s="1" t="s">
        <v>17</v>
      </c>
      <c r="G82" s="1" t="s">
        <v>121</v>
      </c>
    </row>
    <row r="83" spans="2:7" x14ac:dyDescent="0.3">
      <c r="B83" s="1" t="s">
        <v>30</v>
      </c>
      <c r="C83" s="1" t="s">
        <v>5</v>
      </c>
      <c r="D83" s="1" t="s">
        <v>8</v>
      </c>
      <c r="F83" s="1" t="s">
        <v>60</v>
      </c>
      <c r="G83" s="1" t="s">
        <v>122</v>
      </c>
    </row>
    <row r="84" spans="2:7" x14ac:dyDescent="0.3">
      <c r="B84" s="1" t="s">
        <v>30</v>
      </c>
      <c r="C84" s="1" t="s">
        <v>8</v>
      </c>
      <c r="D84" s="1" t="s">
        <v>5</v>
      </c>
      <c r="F84" s="1" t="s">
        <v>61</v>
      </c>
      <c r="G84" s="1" t="s">
        <v>123</v>
      </c>
    </row>
    <row r="85" spans="2:7" x14ac:dyDescent="0.3">
      <c r="B85" s="1" t="s">
        <v>98</v>
      </c>
      <c r="C85" s="1" t="s">
        <v>0</v>
      </c>
      <c r="D85" s="1" t="s">
        <v>7</v>
      </c>
      <c r="F85" s="1" t="s">
        <v>19</v>
      </c>
      <c r="G85" s="1" t="s">
        <v>135</v>
      </c>
    </row>
    <row r="86" spans="2:7" x14ac:dyDescent="0.3">
      <c r="B86" s="1" t="s">
        <v>98</v>
      </c>
      <c r="C86" s="1" t="s">
        <v>7</v>
      </c>
      <c r="D86" s="1" t="s">
        <v>0</v>
      </c>
      <c r="F86" s="1" t="s">
        <v>97</v>
      </c>
      <c r="G86" s="1" t="s">
        <v>136</v>
      </c>
    </row>
    <row r="87" spans="2:7" x14ac:dyDescent="0.3">
      <c r="B87" s="1" t="s">
        <v>67</v>
      </c>
      <c r="C87" s="1" t="s">
        <v>62</v>
      </c>
      <c r="D87" s="1" t="s">
        <v>18</v>
      </c>
      <c r="F87" s="1" t="s">
        <v>82</v>
      </c>
      <c r="G87" s="1" t="s">
        <v>137</v>
      </c>
    </row>
    <row r="88" spans="2:7" x14ac:dyDescent="0.3">
      <c r="B88" s="1" t="s">
        <v>67</v>
      </c>
      <c r="C88" s="1" t="s">
        <v>18</v>
      </c>
      <c r="D88" s="1" t="s">
        <v>62</v>
      </c>
      <c r="F88" s="1" t="s">
        <v>83</v>
      </c>
      <c r="G88" s="1" t="s">
        <v>138</v>
      </c>
    </row>
    <row r="89" spans="2:7" x14ac:dyDescent="0.3">
      <c r="B89" s="1" t="s">
        <v>31</v>
      </c>
      <c r="C89" s="1" t="s">
        <v>14</v>
      </c>
      <c r="D89" s="1" t="s">
        <v>11</v>
      </c>
      <c r="F89" s="1" t="s">
        <v>84</v>
      </c>
      <c r="G89" s="1" t="s">
        <v>139</v>
      </c>
    </row>
    <row r="90" spans="2:7" x14ac:dyDescent="0.3">
      <c r="B90" s="1" t="s">
        <v>31</v>
      </c>
      <c r="C90" s="1" t="s">
        <v>11</v>
      </c>
      <c r="D90" s="1" t="s">
        <v>14</v>
      </c>
      <c r="F90" s="1">
        <v>1</v>
      </c>
      <c r="G90" s="1" t="s">
        <v>124</v>
      </c>
    </row>
    <row r="91" spans="2:7" x14ac:dyDescent="0.3">
      <c r="B91" s="1" t="s">
        <v>32</v>
      </c>
      <c r="C91" s="1" t="s">
        <v>14</v>
      </c>
      <c r="D91" s="1" t="s">
        <v>10</v>
      </c>
      <c r="F91" s="1">
        <v>2</v>
      </c>
      <c r="G91" s="1" t="s">
        <v>125</v>
      </c>
    </row>
    <row r="92" spans="2:7" x14ac:dyDescent="0.3">
      <c r="B92" s="1" t="s">
        <v>32</v>
      </c>
      <c r="C92" s="1" t="s">
        <v>10</v>
      </c>
      <c r="D92" s="1" t="s">
        <v>14</v>
      </c>
      <c r="F92" s="1">
        <v>3</v>
      </c>
      <c r="G92" s="1" t="s">
        <v>126</v>
      </c>
    </row>
    <row r="93" spans="2:7" x14ac:dyDescent="0.3">
      <c r="B93" s="1" t="s">
        <v>33</v>
      </c>
      <c r="C93" s="1" t="s">
        <v>21</v>
      </c>
      <c r="D93" s="1" t="s">
        <v>10</v>
      </c>
      <c r="F93" s="1">
        <v>4</v>
      </c>
      <c r="G93" s="1" t="s">
        <v>127</v>
      </c>
    </row>
    <row r="94" spans="2:7" x14ac:dyDescent="0.3">
      <c r="B94" s="1" t="s">
        <v>33</v>
      </c>
      <c r="C94" s="1" t="s">
        <v>10</v>
      </c>
      <c r="D94" s="1" t="s">
        <v>21</v>
      </c>
      <c r="F94" s="1">
        <v>5</v>
      </c>
      <c r="G94" s="1" t="s">
        <v>128</v>
      </c>
    </row>
    <row r="95" spans="2:7" x14ac:dyDescent="0.3">
      <c r="B95" s="1" t="s">
        <v>34</v>
      </c>
      <c r="C95" s="1" t="s">
        <v>16</v>
      </c>
      <c r="D95" s="1" t="s">
        <v>6</v>
      </c>
      <c r="F95" s="1">
        <v>6</v>
      </c>
      <c r="G95" s="1" t="s">
        <v>129</v>
      </c>
    </row>
    <row r="96" spans="2:7" x14ac:dyDescent="0.3">
      <c r="B96" s="1" t="s">
        <v>34</v>
      </c>
      <c r="C96" s="1" t="s">
        <v>6</v>
      </c>
      <c r="D96" s="1" t="s">
        <v>16</v>
      </c>
      <c r="F96" s="1">
        <v>7</v>
      </c>
      <c r="G96" s="1" t="s">
        <v>130</v>
      </c>
    </row>
    <row r="97" spans="2:7" x14ac:dyDescent="0.3">
      <c r="B97" s="1" t="s">
        <v>68</v>
      </c>
      <c r="C97" s="1" t="s">
        <v>62</v>
      </c>
      <c r="D97" s="1" t="s">
        <v>9</v>
      </c>
      <c r="F97" s="1">
        <v>8</v>
      </c>
      <c r="G97" s="1" t="s">
        <v>131</v>
      </c>
    </row>
    <row r="98" spans="2:7" x14ac:dyDescent="0.3">
      <c r="B98" s="1" t="s">
        <v>68</v>
      </c>
      <c r="C98" s="1" t="s">
        <v>9</v>
      </c>
      <c r="D98" s="1" t="s">
        <v>62</v>
      </c>
      <c r="F98" s="1">
        <v>9</v>
      </c>
      <c r="G98" s="1" t="s">
        <v>132</v>
      </c>
    </row>
    <row r="99" spans="2:7" x14ac:dyDescent="0.3">
      <c r="B99" s="1" t="s">
        <v>70</v>
      </c>
      <c r="C99" s="1" t="s">
        <v>62</v>
      </c>
      <c r="D99" s="1" t="s">
        <v>6</v>
      </c>
      <c r="F99" s="1">
        <v>0</v>
      </c>
      <c r="G99" s="1" t="s">
        <v>133</v>
      </c>
    </row>
    <row r="100" spans="2:7" x14ac:dyDescent="0.3">
      <c r="B100" s="1" t="s">
        <v>70</v>
      </c>
      <c r="C100" s="1" t="s">
        <v>6</v>
      </c>
      <c r="D100" s="1" t="s">
        <v>62</v>
      </c>
      <c r="F100" s="1" t="s">
        <v>63</v>
      </c>
      <c r="G100" s="1" t="s">
        <v>140</v>
      </c>
    </row>
    <row r="101" spans="2:7" x14ac:dyDescent="0.3">
      <c r="B101" s="1" t="s">
        <v>43</v>
      </c>
      <c r="C101" s="1" t="s">
        <v>62</v>
      </c>
      <c r="D101" s="1" t="s">
        <v>5</v>
      </c>
      <c r="F101" s="1" t="s">
        <v>26</v>
      </c>
      <c r="G101" s="1" t="s">
        <v>141</v>
      </c>
    </row>
    <row r="102" spans="2:7" x14ac:dyDescent="0.3">
      <c r="B102" s="1" t="s">
        <v>43</v>
      </c>
      <c r="C102" s="1" t="s">
        <v>5</v>
      </c>
      <c r="D102" s="1" t="s">
        <v>62</v>
      </c>
      <c r="F102" s="1" t="s">
        <v>27</v>
      </c>
      <c r="G102" s="1" t="s">
        <v>142</v>
      </c>
    </row>
    <row r="103" spans="2:7" x14ac:dyDescent="0.3">
      <c r="B103" s="1" t="s">
        <v>76</v>
      </c>
      <c r="C103" s="1" t="s">
        <v>10</v>
      </c>
      <c r="D103" s="1" t="s">
        <v>1</v>
      </c>
      <c r="F103" s="1" t="s">
        <v>64</v>
      </c>
      <c r="G103" s="1" t="s">
        <v>143</v>
      </c>
    </row>
    <row r="104" spans="2:7" x14ac:dyDescent="0.3">
      <c r="B104" s="1" t="s">
        <v>76</v>
      </c>
      <c r="C104" s="1" t="s">
        <v>1</v>
      </c>
      <c r="D104" s="1" t="s">
        <v>10</v>
      </c>
      <c r="F104" s="1" t="s">
        <v>85</v>
      </c>
      <c r="G104" s="1" t="s">
        <v>144</v>
      </c>
    </row>
    <row r="105" spans="2:7" x14ac:dyDescent="0.3">
      <c r="B105" s="1" t="s">
        <v>69</v>
      </c>
      <c r="C105" s="1" t="s">
        <v>18</v>
      </c>
      <c r="D105" s="1" t="s">
        <v>4</v>
      </c>
      <c r="F105" s="1" t="s">
        <v>65</v>
      </c>
      <c r="G105" s="1" t="s">
        <v>134</v>
      </c>
    </row>
    <row r="106" spans="2:7" x14ac:dyDescent="0.3">
      <c r="B106" s="1" t="s">
        <v>69</v>
      </c>
      <c r="C106" s="1" t="s">
        <v>4</v>
      </c>
      <c r="D106" s="1" t="s">
        <v>18</v>
      </c>
      <c r="F106" s="1" t="s">
        <v>66</v>
      </c>
      <c r="G106" t="s">
        <v>145</v>
      </c>
    </row>
    <row r="107" spans="2:7" x14ac:dyDescent="0.3">
      <c r="B107" s="1" t="s">
        <v>35</v>
      </c>
      <c r="C107" s="1" t="s">
        <v>18</v>
      </c>
      <c r="D107" s="1" t="s">
        <v>3</v>
      </c>
      <c r="F107" s="1" t="s">
        <v>28</v>
      </c>
      <c r="G107" t="s">
        <v>146</v>
      </c>
    </row>
    <row r="108" spans="2:7" x14ac:dyDescent="0.3">
      <c r="B108" s="1" t="s">
        <v>35</v>
      </c>
      <c r="C108" s="1" t="s">
        <v>3</v>
      </c>
      <c r="D108" s="1" t="s">
        <v>18</v>
      </c>
      <c r="F108" s="1" t="s">
        <v>29</v>
      </c>
      <c r="G108" t="s">
        <v>147</v>
      </c>
    </row>
    <row r="109" spans="2:7" x14ac:dyDescent="0.3">
      <c r="B109" s="1" t="s">
        <v>86</v>
      </c>
      <c r="C109" s="1" t="s">
        <v>6</v>
      </c>
      <c r="D109" s="1" t="s">
        <v>3</v>
      </c>
      <c r="F109" s="1" t="s">
        <v>30</v>
      </c>
      <c r="G109" t="s">
        <v>148</v>
      </c>
    </row>
    <row r="110" spans="2:7" x14ac:dyDescent="0.3">
      <c r="B110" s="1" t="s">
        <v>86</v>
      </c>
      <c r="C110" s="1" t="s">
        <v>3</v>
      </c>
      <c r="D110" s="1" t="s">
        <v>6</v>
      </c>
      <c r="F110" s="1" t="s">
        <v>98</v>
      </c>
      <c r="G110" t="s">
        <v>149</v>
      </c>
    </row>
    <row r="111" spans="2:7" x14ac:dyDescent="0.3">
      <c r="B111" s="1" t="s">
        <v>36</v>
      </c>
      <c r="C111" s="1" t="s">
        <v>8</v>
      </c>
      <c r="D111" s="1" t="s">
        <v>11</v>
      </c>
      <c r="F111" s="1" t="s">
        <v>67</v>
      </c>
      <c r="G111" t="s">
        <v>150</v>
      </c>
    </row>
    <row r="112" spans="2:7" x14ac:dyDescent="0.3">
      <c r="B112" s="1" t="s">
        <v>36</v>
      </c>
      <c r="C112" s="1" t="s">
        <v>11</v>
      </c>
      <c r="D112" s="1" t="s">
        <v>8</v>
      </c>
      <c r="F112" s="1" t="s">
        <v>31</v>
      </c>
      <c r="G112" t="s">
        <v>151</v>
      </c>
    </row>
    <row r="113" spans="2:7" x14ac:dyDescent="0.3">
      <c r="B113" s="1" t="s">
        <v>37</v>
      </c>
      <c r="C113" s="1" t="s">
        <v>5</v>
      </c>
      <c r="D113" s="1" t="s">
        <v>7</v>
      </c>
      <c r="F113" s="1" t="s">
        <v>32</v>
      </c>
      <c r="G113" t="s">
        <v>152</v>
      </c>
    </row>
    <row r="114" spans="2:7" x14ac:dyDescent="0.3">
      <c r="B114" s="1" t="s">
        <v>37</v>
      </c>
      <c r="C114" s="1" t="s">
        <v>7</v>
      </c>
      <c r="D114" s="1" t="s">
        <v>5</v>
      </c>
      <c r="F114" s="1" t="s">
        <v>33</v>
      </c>
      <c r="G114" t="s">
        <v>153</v>
      </c>
    </row>
    <row r="115" spans="2:7" x14ac:dyDescent="0.3">
      <c r="B115" s="1" t="s">
        <v>38</v>
      </c>
      <c r="C115" s="1" t="s">
        <v>7</v>
      </c>
      <c r="D115" s="1" t="s">
        <v>11</v>
      </c>
      <c r="F115" s="1" t="s">
        <v>34</v>
      </c>
      <c r="G115" s="1" t="s">
        <v>170</v>
      </c>
    </row>
    <row r="116" spans="2:7" x14ac:dyDescent="0.3">
      <c r="B116" s="1" t="s">
        <v>38</v>
      </c>
      <c r="C116" s="1" t="s">
        <v>11</v>
      </c>
      <c r="D116" s="1" t="s">
        <v>7</v>
      </c>
      <c r="F116" s="1" t="s">
        <v>68</v>
      </c>
      <c r="G116" s="1" t="s">
        <v>171</v>
      </c>
    </row>
    <row r="117" spans="2:7" x14ac:dyDescent="0.3">
      <c r="B117" s="1" t="s">
        <v>39</v>
      </c>
      <c r="C117" s="1" t="s">
        <v>14</v>
      </c>
      <c r="D117" s="1" t="s">
        <v>18</v>
      </c>
      <c r="F117" s="1" t="s">
        <v>70</v>
      </c>
      <c r="G117" s="1" t="s">
        <v>172</v>
      </c>
    </row>
    <row r="118" spans="2:7" x14ac:dyDescent="0.3">
      <c r="B118" s="1" t="s">
        <v>39</v>
      </c>
      <c r="C118" s="1" t="s">
        <v>18</v>
      </c>
      <c r="D118" s="1" t="s">
        <v>14</v>
      </c>
      <c r="F118" s="1" t="s">
        <v>43</v>
      </c>
      <c r="G118" s="1" t="s">
        <v>173</v>
      </c>
    </row>
    <row r="119" spans="2:7" x14ac:dyDescent="0.3">
      <c r="B119" s="1" t="s">
        <v>87</v>
      </c>
      <c r="C119" s="1" t="s">
        <v>14</v>
      </c>
      <c r="D119" s="1" t="s">
        <v>9</v>
      </c>
      <c r="F119" s="1" t="s">
        <v>76</v>
      </c>
      <c r="G119" s="1" t="s">
        <v>174</v>
      </c>
    </row>
    <row r="120" spans="2:7" x14ac:dyDescent="0.3">
      <c r="B120" s="1" t="s">
        <v>87</v>
      </c>
      <c r="C120" s="1" t="s">
        <v>9</v>
      </c>
      <c r="D120" s="1" t="s">
        <v>14</v>
      </c>
      <c r="F120" s="1" t="s">
        <v>69</v>
      </c>
      <c r="G120" t="s">
        <v>154</v>
      </c>
    </row>
    <row r="121" spans="2:7" x14ac:dyDescent="0.3">
      <c r="B121" s="1" t="s">
        <v>40</v>
      </c>
      <c r="C121" s="1" t="s">
        <v>14</v>
      </c>
      <c r="D121" s="1" t="s">
        <v>6</v>
      </c>
      <c r="F121" s="1" t="s">
        <v>35</v>
      </c>
      <c r="G121" t="s">
        <v>155</v>
      </c>
    </row>
    <row r="122" spans="2:7" x14ac:dyDescent="0.3">
      <c r="B122" s="1" t="s">
        <v>40</v>
      </c>
      <c r="C122" s="1" t="s">
        <v>6</v>
      </c>
      <c r="D122" s="1" t="s">
        <v>14</v>
      </c>
      <c r="F122" s="1" t="s">
        <v>86</v>
      </c>
      <c r="G122" t="s">
        <v>156</v>
      </c>
    </row>
    <row r="123" spans="2:7" x14ac:dyDescent="0.3">
      <c r="B123" s="1" t="s">
        <v>194</v>
      </c>
      <c r="C123" s="1" t="s">
        <v>21</v>
      </c>
      <c r="D123">
        <v>32</v>
      </c>
      <c r="F123" s="1" t="s">
        <v>36</v>
      </c>
      <c r="G123" t="s">
        <v>157</v>
      </c>
    </row>
    <row r="124" spans="2:7" x14ac:dyDescent="0.3">
      <c r="B124" s="1" t="s">
        <v>194</v>
      </c>
      <c r="C124" s="1" t="s">
        <v>6</v>
      </c>
      <c r="D124">
        <v>5</v>
      </c>
      <c r="F124" s="1" t="s">
        <v>37</v>
      </c>
      <c r="G124" t="s">
        <v>158</v>
      </c>
    </row>
    <row r="125" spans="2:7" x14ac:dyDescent="0.3">
      <c r="B125" s="1" t="s">
        <v>41</v>
      </c>
      <c r="C125" s="1" t="s">
        <v>16</v>
      </c>
      <c r="D125" s="1" t="s">
        <v>18</v>
      </c>
      <c r="F125" s="1" t="s">
        <v>38</v>
      </c>
      <c r="G125" t="s">
        <v>159</v>
      </c>
    </row>
    <row r="126" spans="2:7" x14ac:dyDescent="0.3">
      <c r="B126" s="1" t="s">
        <v>41</v>
      </c>
      <c r="C126" s="1" t="s">
        <v>18</v>
      </c>
      <c r="D126" s="1" t="s">
        <v>16</v>
      </c>
      <c r="F126" s="1" t="s">
        <v>39</v>
      </c>
      <c r="G126" t="s">
        <v>160</v>
      </c>
    </row>
    <row r="127" spans="2:7" x14ac:dyDescent="0.3">
      <c r="B127" s="1" t="s">
        <v>42</v>
      </c>
      <c r="C127" s="1" t="s">
        <v>20</v>
      </c>
      <c r="D127" s="1" t="s">
        <v>5</v>
      </c>
      <c r="F127" s="1" t="s">
        <v>87</v>
      </c>
      <c r="G127" t="s">
        <v>161</v>
      </c>
    </row>
    <row r="128" spans="2:7" x14ac:dyDescent="0.3">
      <c r="B128" s="1" t="s">
        <v>42</v>
      </c>
      <c r="C128" s="1" t="s">
        <v>5</v>
      </c>
      <c r="D128" s="1" t="s">
        <v>20</v>
      </c>
      <c r="F128" s="1" t="s">
        <v>40</v>
      </c>
      <c r="G128" t="s">
        <v>162</v>
      </c>
    </row>
    <row r="129" spans="2:9" x14ac:dyDescent="0.3">
      <c r="B129" s="1" t="s">
        <v>99</v>
      </c>
      <c r="C129" s="1" t="s">
        <v>16</v>
      </c>
      <c r="D129" s="1" t="s">
        <v>5</v>
      </c>
      <c r="F129" s="1" t="s">
        <v>175</v>
      </c>
      <c r="G129" s="1" t="s">
        <v>176</v>
      </c>
    </row>
    <row r="130" spans="2:9" x14ac:dyDescent="0.3">
      <c r="B130" s="1" t="s">
        <v>99</v>
      </c>
      <c r="C130" s="1" t="s">
        <v>5</v>
      </c>
      <c r="D130" s="1" t="s">
        <v>16</v>
      </c>
      <c r="F130" s="1" t="s">
        <v>41</v>
      </c>
      <c r="G130" s="1" t="s">
        <v>177</v>
      </c>
    </row>
    <row r="131" spans="2:9" x14ac:dyDescent="0.3">
      <c r="B131" s="1" t="s">
        <v>100</v>
      </c>
      <c r="C131" s="1" t="s">
        <v>44</v>
      </c>
      <c r="D131" s="1" t="s">
        <v>5</v>
      </c>
      <c r="F131" s="1" t="s">
        <v>42</v>
      </c>
      <c r="G131" s="1" t="s">
        <v>178</v>
      </c>
    </row>
    <row r="132" spans="2:9" x14ac:dyDescent="0.3">
      <c r="B132" s="1" t="s">
        <v>100</v>
      </c>
      <c r="C132" s="1" t="s">
        <v>5</v>
      </c>
      <c r="D132" s="1" t="s">
        <v>44</v>
      </c>
      <c r="F132" s="1" t="s">
        <v>99</v>
      </c>
      <c r="G132" s="1" t="s">
        <v>179</v>
      </c>
    </row>
    <row r="133" spans="2:9" x14ac:dyDescent="0.3">
      <c r="B133" s="1" t="s">
        <v>45</v>
      </c>
      <c r="C133" s="1" t="s">
        <v>18</v>
      </c>
      <c r="D133" s="1" t="s">
        <v>8</v>
      </c>
      <c r="F133" s="1" t="s">
        <v>100</v>
      </c>
      <c r="G133" s="1" t="s">
        <v>180</v>
      </c>
      <c r="I133" s="1" t="s">
        <v>183</v>
      </c>
    </row>
    <row r="134" spans="2:9" x14ac:dyDescent="0.3">
      <c r="B134" s="1" t="s">
        <v>45</v>
      </c>
      <c r="C134" s="1" t="s">
        <v>8</v>
      </c>
      <c r="D134" s="1" t="s">
        <v>18</v>
      </c>
      <c r="F134" s="1" t="s">
        <v>45</v>
      </c>
      <c r="G134" t="s">
        <v>163</v>
      </c>
    </row>
    <row r="135" spans="2:9" x14ac:dyDescent="0.3">
      <c r="B135" s="1" t="s">
        <v>46</v>
      </c>
      <c r="C135" s="1" t="s">
        <v>6</v>
      </c>
      <c r="D135" s="1" t="s">
        <v>8</v>
      </c>
      <c r="F135" s="1" t="s">
        <v>46</v>
      </c>
      <c r="G135" t="s">
        <v>164</v>
      </c>
    </row>
    <row r="136" spans="2:9" x14ac:dyDescent="0.3">
      <c r="B136" s="1" t="s">
        <v>46</v>
      </c>
      <c r="C136" s="1" t="s">
        <v>8</v>
      </c>
      <c r="D136" s="1" t="s">
        <v>6</v>
      </c>
      <c r="F136" s="1" t="s">
        <v>47</v>
      </c>
      <c r="G136" t="s">
        <v>165</v>
      </c>
    </row>
    <row r="137" spans="2:9" x14ac:dyDescent="0.3">
      <c r="B137" s="1" t="s">
        <v>47</v>
      </c>
      <c r="C137" s="1" t="s">
        <v>8</v>
      </c>
      <c r="D137" s="1" t="s">
        <v>9</v>
      </c>
      <c r="F137" s="1" t="s">
        <v>88</v>
      </c>
      <c r="G137" t="s">
        <v>166</v>
      </c>
    </row>
    <row r="138" spans="2:9" x14ac:dyDescent="0.3">
      <c r="B138" s="1" t="s">
        <v>47</v>
      </c>
      <c r="C138" s="1" t="s">
        <v>9</v>
      </c>
      <c r="D138" s="1" t="s">
        <v>8</v>
      </c>
      <c r="F138" s="1" t="s">
        <v>48</v>
      </c>
      <c r="G138" t="s">
        <v>167</v>
      </c>
    </row>
    <row r="139" spans="2:9" x14ac:dyDescent="0.3">
      <c r="B139" s="1" t="s">
        <v>88</v>
      </c>
      <c r="C139" s="1" t="s">
        <v>7</v>
      </c>
      <c r="D139" s="1" t="s">
        <v>9</v>
      </c>
      <c r="F139" s="1" t="s">
        <v>89</v>
      </c>
      <c r="G139" t="s">
        <v>168</v>
      </c>
    </row>
    <row r="140" spans="2:9" x14ac:dyDescent="0.3">
      <c r="B140" s="1" t="s">
        <v>88</v>
      </c>
      <c r="C140" s="1" t="s">
        <v>9</v>
      </c>
      <c r="D140" s="1" t="s">
        <v>7</v>
      </c>
      <c r="F140" s="1" t="s">
        <v>49</v>
      </c>
      <c r="G140" t="s">
        <v>169</v>
      </c>
    </row>
    <row r="141" spans="2:9" x14ac:dyDescent="0.3">
      <c r="B141" s="1" t="s">
        <v>48</v>
      </c>
      <c r="C141" s="1" t="s">
        <v>7</v>
      </c>
      <c r="D141" s="1" t="s">
        <v>10</v>
      </c>
      <c r="F141" s="1" t="s">
        <v>90</v>
      </c>
      <c r="G141" s="1" t="s">
        <v>181</v>
      </c>
    </row>
    <row r="142" spans="2:9" x14ac:dyDescent="0.3">
      <c r="B142" s="1" t="s">
        <v>48</v>
      </c>
      <c r="C142" s="1" t="s">
        <v>10</v>
      </c>
      <c r="D142" s="1" t="s">
        <v>7</v>
      </c>
      <c r="F142" s="1" t="s">
        <v>50</v>
      </c>
      <c r="G142" s="1" t="s">
        <v>182</v>
      </c>
    </row>
    <row r="143" spans="2:9" x14ac:dyDescent="0.3">
      <c r="B143" s="1" t="s">
        <v>89</v>
      </c>
      <c r="C143" s="1" t="s">
        <v>6</v>
      </c>
      <c r="D143" s="1" t="s">
        <v>7</v>
      </c>
      <c r="F143" s="1" t="s">
        <v>101</v>
      </c>
      <c r="G143" s="1" t="s">
        <v>180</v>
      </c>
      <c r="I143" s="1" t="s">
        <v>183</v>
      </c>
    </row>
    <row r="144" spans="2:9" x14ac:dyDescent="0.3">
      <c r="B144" s="1" t="s">
        <v>89</v>
      </c>
      <c r="C144" s="1" t="s">
        <v>7</v>
      </c>
      <c r="D144" s="1" t="s">
        <v>6</v>
      </c>
      <c r="F144" s="1" t="s">
        <v>91</v>
      </c>
      <c r="G144" s="1" t="s">
        <v>184</v>
      </c>
    </row>
    <row r="145" spans="2:9" x14ac:dyDescent="0.3">
      <c r="B145" s="1" t="s">
        <v>49</v>
      </c>
      <c r="C145" s="1" t="s">
        <v>6</v>
      </c>
      <c r="D145" s="1" t="s">
        <v>1</v>
      </c>
      <c r="F145" s="1" t="s">
        <v>92</v>
      </c>
      <c r="G145" s="1" t="s">
        <v>185</v>
      </c>
    </row>
    <row r="146" spans="2:9" x14ac:dyDescent="0.3">
      <c r="B146" s="1" t="s">
        <v>49</v>
      </c>
      <c r="C146" s="1" t="s">
        <v>1</v>
      </c>
      <c r="D146" s="1" t="s">
        <v>6</v>
      </c>
      <c r="F146" s="1" t="s">
        <v>51</v>
      </c>
      <c r="G146" s="1" t="s">
        <v>25</v>
      </c>
      <c r="I146" t="s">
        <v>186</v>
      </c>
    </row>
    <row r="147" spans="2:9" x14ac:dyDescent="0.3">
      <c r="B147" s="1" t="s">
        <v>175</v>
      </c>
      <c r="C147" s="1" t="s">
        <v>14</v>
      </c>
      <c r="D147">
        <v>26</v>
      </c>
      <c r="F147" s="1" t="s">
        <v>102</v>
      </c>
      <c r="G147" s="1" t="s">
        <v>187</v>
      </c>
      <c r="I147" s="1" t="s">
        <v>183</v>
      </c>
    </row>
    <row r="148" spans="2:9" x14ac:dyDescent="0.3">
      <c r="B148" s="1" t="s">
        <v>175</v>
      </c>
      <c r="C148" s="1" t="s">
        <v>0</v>
      </c>
      <c r="D148">
        <v>9</v>
      </c>
      <c r="F148" s="1" t="s">
        <v>52</v>
      </c>
      <c r="G148" s="1" t="s">
        <v>189</v>
      </c>
      <c r="I148" s="1"/>
    </row>
    <row r="149" spans="2:9" x14ac:dyDescent="0.3">
      <c r="B149" s="1" t="s">
        <v>90</v>
      </c>
      <c r="C149" s="1" t="s">
        <v>14</v>
      </c>
      <c r="D149" s="1" t="s">
        <v>5</v>
      </c>
      <c r="F149" s="1" t="s">
        <v>103</v>
      </c>
      <c r="G149" s="1" t="s">
        <v>188</v>
      </c>
      <c r="I149" s="1" t="s">
        <v>183</v>
      </c>
    </row>
    <row r="150" spans="2:9" x14ac:dyDescent="0.3">
      <c r="B150" s="1" t="s">
        <v>90</v>
      </c>
      <c r="C150" s="1" t="s">
        <v>5</v>
      </c>
      <c r="D150" s="1" t="s">
        <v>14</v>
      </c>
      <c r="F150" s="1" t="s">
        <v>104</v>
      </c>
      <c r="G150">
        <v>0</v>
      </c>
      <c r="I150" s="1" t="s">
        <v>186</v>
      </c>
    </row>
    <row r="151" spans="2:9" x14ac:dyDescent="0.3">
      <c r="B151" s="1" t="s">
        <v>50</v>
      </c>
      <c r="C151" s="1" t="s">
        <v>21</v>
      </c>
      <c r="D151" s="1" t="s">
        <v>18</v>
      </c>
      <c r="F151" s="1" t="s">
        <v>54</v>
      </c>
      <c r="G151" s="1" t="s">
        <v>190</v>
      </c>
    </row>
    <row r="152" spans="2:9" x14ac:dyDescent="0.3">
      <c r="B152" s="1" t="s">
        <v>50</v>
      </c>
      <c r="C152" s="1" t="s">
        <v>18</v>
      </c>
      <c r="D152" s="1" t="s">
        <v>21</v>
      </c>
      <c r="F152" s="1" t="s">
        <v>105</v>
      </c>
      <c r="G152" s="1" t="s">
        <v>188</v>
      </c>
      <c r="I152" s="1" t="s">
        <v>183</v>
      </c>
    </row>
    <row r="153" spans="2:9" x14ac:dyDescent="0.3">
      <c r="B153" s="1" t="s">
        <v>101</v>
      </c>
      <c r="C153" s="1" t="s">
        <v>44</v>
      </c>
      <c r="D153" s="1" t="s">
        <v>0</v>
      </c>
      <c r="F153" s="1" t="s">
        <v>106</v>
      </c>
      <c r="G153">
        <v>0</v>
      </c>
      <c r="I153" s="1" t="s">
        <v>186</v>
      </c>
    </row>
    <row r="154" spans="2:9" x14ac:dyDescent="0.3">
      <c r="B154" s="1" t="s">
        <v>101</v>
      </c>
      <c r="C154" s="1" t="s">
        <v>0</v>
      </c>
      <c r="D154" s="1" t="s">
        <v>44</v>
      </c>
      <c r="F154" s="1" t="s">
        <v>107</v>
      </c>
      <c r="G154" s="1" t="s">
        <v>187</v>
      </c>
      <c r="I154" s="1" t="s">
        <v>183</v>
      </c>
    </row>
    <row r="155" spans="2:9" x14ac:dyDescent="0.3">
      <c r="B155" s="1" t="s">
        <v>91</v>
      </c>
      <c r="C155" s="1" t="s">
        <v>20</v>
      </c>
      <c r="D155" s="1" t="s">
        <v>6</v>
      </c>
      <c r="F155" s="1" t="s">
        <v>72</v>
      </c>
      <c r="G155" s="1" t="s">
        <v>191</v>
      </c>
    </row>
    <row r="156" spans="2:9" x14ac:dyDescent="0.3">
      <c r="B156" s="1" t="s">
        <v>91</v>
      </c>
      <c r="C156" s="1" t="s">
        <v>6</v>
      </c>
      <c r="D156" s="1" t="s">
        <v>20</v>
      </c>
      <c r="F156" s="1" t="s">
        <v>71</v>
      </c>
      <c r="G156" s="1" t="s">
        <v>192</v>
      </c>
    </row>
    <row r="157" spans="2:9" x14ac:dyDescent="0.3">
      <c r="B157" s="1" t="s">
        <v>92</v>
      </c>
      <c r="C157" s="1" t="s">
        <v>16</v>
      </c>
      <c r="D157" s="1" t="s">
        <v>9</v>
      </c>
      <c r="F157" s="1" t="s">
        <v>93</v>
      </c>
      <c r="G157" s="1" t="s">
        <v>193</v>
      </c>
    </row>
    <row r="158" spans="2:9" x14ac:dyDescent="0.3">
      <c r="B158" s="1" t="s">
        <v>92</v>
      </c>
      <c r="C158" s="1" t="s">
        <v>9</v>
      </c>
      <c r="D158" s="1" t="s">
        <v>16</v>
      </c>
      <c r="F158" s="1" t="s">
        <v>194</v>
      </c>
      <c r="G158" s="1" t="s">
        <v>195</v>
      </c>
    </row>
    <row r="159" spans="2:9" x14ac:dyDescent="0.3">
      <c r="B159" s="1" t="s">
        <v>51</v>
      </c>
      <c r="C159" s="1" t="s">
        <v>18</v>
      </c>
      <c r="D159" s="1" t="s">
        <v>1</v>
      </c>
    </row>
    <row r="160" spans="2:9" x14ac:dyDescent="0.3">
      <c r="B160" s="1" t="s">
        <v>51</v>
      </c>
      <c r="C160" s="1" t="s">
        <v>1</v>
      </c>
      <c r="D160" s="1" t="s">
        <v>18</v>
      </c>
    </row>
    <row r="161" spans="2:4" x14ac:dyDescent="0.3">
      <c r="B161" s="1" t="s">
        <v>102</v>
      </c>
      <c r="C161" s="1" t="s">
        <v>23</v>
      </c>
      <c r="D161" s="1" t="s">
        <v>5</v>
      </c>
    </row>
    <row r="162" spans="2:4" x14ac:dyDescent="0.3">
      <c r="B162" s="1" t="s">
        <v>102</v>
      </c>
      <c r="C162" s="1" t="s">
        <v>5</v>
      </c>
      <c r="D162" s="1" t="s">
        <v>23</v>
      </c>
    </row>
    <row r="163" spans="2:4" x14ac:dyDescent="0.3">
      <c r="B163" s="1" t="s">
        <v>52</v>
      </c>
      <c r="C163" s="1" t="s">
        <v>53</v>
      </c>
      <c r="D163" s="1" t="s">
        <v>5</v>
      </c>
    </row>
    <row r="164" spans="2:4" x14ac:dyDescent="0.3">
      <c r="B164" s="1" t="s">
        <v>52</v>
      </c>
      <c r="C164" s="1" t="s">
        <v>5</v>
      </c>
      <c r="D164" s="1" t="s">
        <v>53</v>
      </c>
    </row>
    <row r="165" spans="2:4" x14ac:dyDescent="0.3">
      <c r="B165" s="1" t="s">
        <v>103</v>
      </c>
      <c r="C165" s="1" t="s">
        <v>55</v>
      </c>
      <c r="D165" s="1" t="s">
        <v>5</v>
      </c>
    </row>
    <row r="166" spans="2:4" x14ac:dyDescent="0.3">
      <c r="B166" s="1" t="s">
        <v>103</v>
      </c>
      <c r="C166" s="1" t="s">
        <v>5</v>
      </c>
      <c r="D166" s="1" t="s">
        <v>55</v>
      </c>
    </row>
    <row r="167" spans="2:4" x14ac:dyDescent="0.3">
      <c r="B167" s="1" t="s">
        <v>104</v>
      </c>
      <c r="C167" s="1" t="s">
        <v>8</v>
      </c>
      <c r="D167" s="1" t="s">
        <v>10</v>
      </c>
    </row>
    <row r="168" spans="2:4" x14ac:dyDescent="0.3">
      <c r="B168" s="1" t="s">
        <v>104</v>
      </c>
      <c r="C168" s="1" t="s">
        <v>10</v>
      </c>
      <c r="D168" s="1" t="s">
        <v>8</v>
      </c>
    </row>
    <row r="169" spans="2:4" x14ac:dyDescent="0.3">
      <c r="B169" s="1" t="s">
        <v>54</v>
      </c>
      <c r="C169" s="1" t="s">
        <v>18</v>
      </c>
      <c r="D169" s="1" t="s">
        <v>7</v>
      </c>
    </row>
    <row r="170" spans="2:4" x14ac:dyDescent="0.3">
      <c r="B170" s="1" t="s">
        <v>54</v>
      </c>
      <c r="C170" s="1" t="s">
        <v>7</v>
      </c>
      <c r="D170" s="1" t="s">
        <v>18</v>
      </c>
    </row>
    <row r="171" spans="2:4" x14ac:dyDescent="0.3">
      <c r="B171" s="1" t="s">
        <v>105</v>
      </c>
      <c r="C171" s="1" t="s">
        <v>55</v>
      </c>
      <c r="D171" s="1" t="s">
        <v>0</v>
      </c>
    </row>
    <row r="172" spans="2:4" x14ac:dyDescent="0.3">
      <c r="B172" s="1" t="s">
        <v>105</v>
      </c>
      <c r="C172" s="1" t="s">
        <v>0</v>
      </c>
      <c r="D172" s="1" t="s">
        <v>55</v>
      </c>
    </row>
    <row r="173" spans="2:4" x14ac:dyDescent="0.3">
      <c r="B173" s="1" t="s">
        <v>106</v>
      </c>
      <c r="C173" s="1" t="s">
        <v>24</v>
      </c>
      <c r="D173" s="1" t="s">
        <v>18</v>
      </c>
    </row>
    <row r="174" spans="2:4" x14ac:dyDescent="0.3">
      <c r="B174" s="1" t="s">
        <v>106</v>
      </c>
      <c r="C174" s="1" t="s">
        <v>18</v>
      </c>
      <c r="D174" s="1" t="s">
        <v>24</v>
      </c>
    </row>
    <row r="175" spans="2:4" x14ac:dyDescent="0.3">
      <c r="B175" s="1" t="s">
        <v>107</v>
      </c>
      <c r="C175" s="1" t="s">
        <v>23</v>
      </c>
      <c r="D175" s="1" t="s">
        <v>0</v>
      </c>
    </row>
    <row r="176" spans="2:4" x14ac:dyDescent="0.3">
      <c r="B176" s="1" t="s">
        <v>107</v>
      </c>
      <c r="C176" s="1" t="s">
        <v>0</v>
      </c>
      <c r="D176" s="1" t="s">
        <v>23</v>
      </c>
    </row>
    <row r="177" spans="2:4" x14ac:dyDescent="0.3">
      <c r="B177" s="1" t="s">
        <v>72</v>
      </c>
      <c r="C177" s="1" t="s">
        <v>21</v>
      </c>
      <c r="D177" s="1" t="s">
        <v>5</v>
      </c>
    </row>
    <row r="178" spans="2:4" x14ac:dyDescent="0.3">
      <c r="B178" s="1" t="s">
        <v>72</v>
      </c>
      <c r="C178" s="1" t="s">
        <v>5</v>
      </c>
      <c r="D178" s="1" t="s">
        <v>21</v>
      </c>
    </row>
    <row r="179" spans="2:4" x14ac:dyDescent="0.3">
      <c r="B179" s="1" t="s">
        <v>71</v>
      </c>
      <c r="C179" s="1" t="s">
        <v>20</v>
      </c>
      <c r="D179" s="1" t="s">
        <v>18</v>
      </c>
    </row>
    <row r="180" spans="2:4" x14ac:dyDescent="0.3">
      <c r="B180" s="1" t="s">
        <v>71</v>
      </c>
      <c r="C180" s="1" t="s">
        <v>18</v>
      </c>
      <c r="D180" s="1" t="s">
        <v>20</v>
      </c>
    </row>
    <row r="181" spans="2:4" x14ac:dyDescent="0.3">
      <c r="B181" s="1" t="s">
        <v>93</v>
      </c>
      <c r="C181" s="1" t="s">
        <v>21</v>
      </c>
      <c r="D181" s="1" t="s">
        <v>9</v>
      </c>
    </row>
    <row r="182" spans="2:4" x14ac:dyDescent="0.3">
      <c r="B182" s="1" t="s">
        <v>93</v>
      </c>
      <c r="C182" s="1" t="s">
        <v>9</v>
      </c>
      <c r="D182" s="1" t="s">
        <v>21</v>
      </c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</sheetData>
  <sortState ref="B9:D190">
    <sortCondition ref="C9:C190"/>
    <sortCondition ref="D9:D19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Z28"/>
  <sheetViews>
    <sheetView topLeftCell="B1" workbookViewId="0">
      <pane xSplit="1" topLeftCell="C1" activePane="topRight" state="frozenSplit"/>
      <selection activeCell="B1" sqref="B1"/>
      <selection pane="topRight" activeCell="P12" sqref="P12"/>
    </sheetView>
  </sheetViews>
  <sheetFormatPr defaultRowHeight="14.4" x14ac:dyDescent="0.3"/>
  <cols>
    <col min="2" max="2" width="3.44140625" style="75" customWidth="1"/>
    <col min="7" max="7" width="18.109375" bestFit="1" customWidth="1"/>
    <col min="8" max="8" width="17.88671875" customWidth="1"/>
    <col min="9" max="9" width="2" style="79" bestFit="1" customWidth="1"/>
    <col min="10" max="10" width="12.6640625" customWidth="1"/>
    <col min="11" max="11" width="17" customWidth="1"/>
    <col min="12" max="12" width="16.88671875" customWidth="1"/>
    <col min="13" max="13" width="8.88671875" style="79"/>
    <col min="14" max="14" width="18.109375" bestFit="1" customWidth="1"/>
    <col min="15" max="15" width="16.5546875" customWidth="1"/>
  </cols>
  <sheetData>
    <row r="4" spans="2:26" s="75" customFormat="1" x14ac:dyDescent="0.3">
      <c r="B4" s="75" t="s">
        <v>94</v>
      </c>
      <c r="C4" s="75">
        <v>2</v>
      </c>
      <c r="D4" s="75">
        <v>3</v>
      </c>
      <c r="E4" s="75">
        <v>4</v>
      </c>
      <c r="F4" s="75">
        <v>5</v>
      </c>
      <c r="G4" s="75">
        <v>6</v>
      </c>
      <c r="H4" s="75">
        <v>7</v>
      </c>
      <c r="I4" s="78">
        <v>8</v>
      </c>
      <c r="J4" s="75">
        <v>9</v>
      </c>
      <c r="K4" s="75">
        <v>10</v>
      </c>
      <c r="L4" s="75">
        <v>22</v>
      </c>
      <c r="M4" s="78">
        <v>24</v>
      </c>
      <c r="N4" s="75">
        <v>26</v>
      </c>
      <c r="O4" s="75">
        <v>28</v>
      </c>
      <c r="P4" s="75">
        <v>30</v>
      </c>
      <c r="Q4" s="75">
        <v>32</v>
      </c>
      <c r="R4" s="75">
        <v>34</v>
      </c>
      <c r="S4" s="75">
        <v>36</v>
      </c>
      <c r="T4" s="75">
        <v>38</v>
      </c>
      <c r="U4" s="75">
        <v>40</v>
      </c>
      <c r="V4" s="75">
        <v>42</v>
      </c>
      <c r="W4" s="75">
        <v>44</v>
      </c>
      <c r="X4" s="75">
        <v>46</v>
      </c>
      <c r="Y4" s="75">
        <v>48</v>
      </c>
      <c r="Z4" s="75">
        <v>50</v>
      </c>
    </row>
    <row r="5" spans="2:26" s="84" customFormat="1" x14ac:dyDescent="0.3">
      <c r="B5" s="83">
        <v>2</v>
      </c>
      <c r="C5" s="79" t="s">
        <v>57</v>
      </c>
      <c r="D5" s="84" t="s">
        <v>57</v>
      </c>
      <c r="E5" s="84" t="s">
        <v>57</v>
      </c>
      <c r="F5" s="84" t="s">
        <v>57</v>
      </c>
      <c r="G5" s="84" t="s">
        <v>57</v>
      </c>
      <c r="H5" s="84" t="s">
        <v>57</v>
      </c>
      <c r="I5" s="79" t="s">
        <v>57</v>
      </c>
      <c r="J5" s="84" t="s">
        <v>57</v>
      </c>
      <c r="K5" s="84" t="s">
        <v>57</v>
      </c>
      <c r="L5" s="84" t="s">
        <v>57</v>
      </c>
      <c r="M5" s="79" t="s">
        <v>57</v>
      </c>
      <c r="N5" s="84" t="s">
        <v>136</v>
      </c>
      <c r="O5" s="84" t="s">
        <v>178</v>
      </c>
      <c r="P5" s="84" t="s">
        <v>192</v>
      </c>
      <c r="Q5" s="84" t="s">
        <v>184</v>
      </c>
      <c r="R5" s="84" t="s">
        <v>57</v>
      </c>
      <c r="S5" s="84" t="s">
        <v>57</v>
      </c>
      <c r="T5" s="84" t="s">
        <v>57</v>
      </c>
      <c r="U5" s="84" t="s">
        <v>142</v>
      </c>
      <c r="V5" s="84" t="s">
        <v>141</v>
      </c>
      <c r="W5" s="84" t="s">
        <v>135</v>
      </c>
      <c r="X5" s="84" t="s">
        <v>57</v>
      </c>
      <c r="Y5" s="84" t="s">
        <v>57</v>
      </c>
      <c r="Z5" s="84" t="s">
        <v>57</v>
      </c>
    </row>
    <row r="6" spans="2:26" s="84" customFormat="1" x14ac:dyDescent="0.3">
      <c r="B6" s="83">
        <v>3</v>
      </c>
      <c r="C6" s="84" t="s">
        <v>57</v>
      </c>
      <c r="D6" s="79" t="s">
        <v>57</v>
      </c>
      <c r="E6" s="84" t="s">
        <v>57</v>
      </c>
      <c r="F6" s="84" t="s">
        <v>57</v>
      </c>
      <c r="G6" s="84" t="s">
        <v>57</v>
      </c>
      <c r="H6" s="84" t="s">
        <v>57</v>
      </c>
      <c r="I6" s="79" t="s">
        <v>57</v>
      </c>
      <c r="J6" s="84" t="s">
        <v>57</v>
      </c>
      <c r="K6" s="84" t="s">
        <v>57</v>
      </c>
      <c r="L6" s="84" t="s">
        <v>57</v>
      </c>
      <c r="M6" s="79" t="s">
        <v>57</v>
      </c>
      <c r="N6" s="84" t="s">
        <v>122</v>
      </c>
      <c r="O6" s="84" t="s">
        <v>173</v>
      </c>
      <c r="P6" s="84" t="s">
        <v>150</v>
      </c>
      <c r="Q6" s="84" t="s">
        <v>172</v>
      </c>
      <c r="R6" s="84" t="s">
        <v>57</v>
      </c>
      <c r="S6" s="84" t="s">
        <v>57</v>
      </c>
      <c r="T6" s="84" t="s">
        <v>171</v>
      </c>
      <c r="U6" s="84" t="s">
        <v>143</v>
      </c>
      <c r="V6" s="84" t="s">
        <v>140</v>
      </c>
      <c r="W6" s="84" t="s">
        <v>123</v>
      </c>
      <c r="X6" s="84" t="s">
        <v>57</v>
      </c>
      <c r="Y6" s="84" t="s">
        <v>57</v>
      </c>
      <c r="Z6" s="84" t="s">
        <v>57</v>
      </c>
    </row>
    <row r="7" spans="2:26" s="84" customFormat="1" x14ac:dyDescent="0.3">
      <c r="B7" s="83">
        <v>4</v>
      </c>
      <c r="C7" s="84" t="s">
        <v>57</v>
      </c>
      <c r="D7" s="84" t="s">
        <v>57</v>
      </c>
      <c r="E7" s="79" t="s">
        <v>57</v>
      </c>
      <c r="F7" s="84" t="s">
        <v>57</v>
      </c>
      <c r="G7" s="84" t="s">
        <v>57</v>
      </c>
      <c r="H7" s="84" t="s">
        <v>57</v>
      </c>
      <c r="I7" s="79" t="s">
        <v>57</v>
      </c>
      <c r="J7" s="84" t="s">
        <v>57</v>
      </c>
      <c r="K7" s="84" t="s">
        <v>57</v>
      </c>
      <c r="L7" s="84" t="s">
        <v>57</v>
      </c>
      <c r="M7" s="79" t="s">
        <v>57</v>
      </c>
      <c r="N7" s="84" t="s">
        <v>121</v>
      </c>
      <c r="O7" s="84" t="s">
        <v>179</v>
      </c>
      <c r="P7" s="84" t="s">
        <v>57</v>
      </c>
      <c r="Q7" s="84" t="s">
        <v>170</v>
      </c>
      <c r="R7" s="84" t="s">
        <v>57</v>
      </c>
      <c r="S7" s="84" t="s">
        <v>57</v>
      </c>
      <c r="T7" s="84" t="s">
        <v>185</v>
      </c>
      <c r="U7" s="84" t="s">
        <v>133</v>
      </c>
      <c r="V7" s="84" t="s">
        <v>132</v>
      </c>
      <c r="W7" s="84" t="s">
        <v>120</v>
      </c>
      <c r="X7" s="84" t="s">
        <v>57</v>
      </c>
      <c r="Y7" s="84" t="s">
        <v>57</v>
      </c>
      <c r="Z7" s="84" t="s">
        <v>57</v>
      </c>
    </row>
    <row r="8" spans="2:26" s="84" customFormat="1" x14ac:dyDescent="0.3">
      <c r="B8" s="83">
        <v>5</v>
      </c>
      <c r="C8" s="84" t="s">
        <v>57</v>
      </c>
      <c r="D8" s="84" t="s">
        <v>57</v>
      </c>
      <c r="E8" s="84" t="s">
        <v>57</v>
      </c>
      <c r="F8" s="79" t="s">
        <v>57</v>
      </c>
      <c r="G8" s="84" t="s">
        <v>57</v>
      </c>
      <c r="H8" s="84" t="s">
        <v>57</v>
      </c>
      <c r="I8" s="79" t="s">
        <v>57</v>
      </c>
      <c r="J8" s="84" t="s">
        <v>57</v>
      </c>
      <c r="K8" s="84" t="s">
        <v>57</v>
      </c>
      <c r="L8" s="84" t="s">
        <v>57</v>
      </c>
      <c r="M8" s="79" t="s">
        <v>57</v>
      </c>
      <c r="N8" s="84" t="s">
        <v>137</v>
      </c>
      <c r="O8" s="84" t="s">
        <v>191</v>
      </c>
      <c r="P8" s="84" t="s">
        <v>182</v>
      </c>
      <c r="Q8" s="84" t="s">
        <v>195</v>
      </c>
      <c r="R8" s="84" t="s">
        <v>57</v>
      </c>
      <c r="S8" s="84" t="s">
        <v>57</v>
      </c>
      <c r="T8" s="84" t="s">
        <v>193</v>
      </c>
      <c r="U8" s="84" t="s">
        <v>153</v>
      </c>
      <c r="V8" s="84" t="s">
        <v>131</v>
      </c>
      <c r="W8" s="84" t="s">
        <v>138</v>
      </c>
      <c r="X8" s="84" t="s">
        <v>57</v>
      </c>
      <c r="Y8" s="84" t="s">
        <v>57</v>
      </c>
      <c r="Z8" s="84" t="s">
        <v>57</v>
      </c>
    </row>
    <row r="9" spans="2:26" s="84" customFormat="1" x14ac:dyDescent="0.3">
      <c r="B9" s="83">
        <v>6</v>
      </c>
      <c r="C9" s="84" t="s">
        <v>57</v>
      </c>
      <c r="D9" s="84" t="s">
        <v>57</v>
      </c>
      <c r="E9" s="84" t="s">
        <v>57</v>
      </c>
      <c r="F9" s="84" t="s">
        <v>57</v>
      </c>
      <c r="G9" s="79" t="s">
        <v>57</v>
      </c>
      <c r="H9" s="84" t="s">
        <v>57</v>
      </c>
      <c r="I9" s="79" t="s">
        <v>57</v>
      </c>
      <c r="J9" s="84" t="s">
        <v>57</v>
      </c>
      <c r="K9" s="84" t="s">
        <v>57</v>
      </c>
      <c r="L9" s="84" t="s">
        <v>57</v>
      </c>
      <c r="M9" s="79" t="s">
        <v>57</v>
      </c>
      <c r="N9" s="84" t="s">
        <v>180</v>
      </c>
      <c r="O9" s="84" t="s">
        <v>180</v>
      </c>
      <c r="P9" s="84" t="s">
        <v>57</v>
      </c>
      <c r="Q9" s="84" t="s">
        <v>57</v>
      </c>
      <c r="R9" s="84" t="s">
        <v>57</v>
      </c>
      <c r="S9" s="84" t="s">
        <v>57</v>
      </c>
      <c r="T9" s="84" t="s">
        <v>57</v>
      </c>
      <c r="U9" s="84" t="s">
        <v>57</v>
      </c>
      <c r="V9" s="84" t="s">
        <v>57</v>
      </c>
      <c r="W9" s="84" t="s">
        <v>57</v>
      </c>
      <c r="X9" s="84" t="s">
        <v>57</v>
      </c>
      <c r="Y9" s="84" t="s">
        <v>57</v>
      </c>
      <c r="Z9" s="84" t="s">
        <v>57</v>
      </c>
    </row>
    <row r="10" spans="2:26" s="84" customFormat="1" x14ac:dyDescent="0.3">
      <c r="B10" s="83">
        <v>7</v>
      </c>
      <c r="C10" s="84" t="s">
        <v>57</v>
      </c>
      <c r="D10" s="84" t="s">
        <v>57</v>
      </c>
      <c r="E10" s="84" t="s">
        <v>57</v>
      </c>
      <c r="F10" s="84" t="s">
        <v>57</v>
      </c>
      <c r="G10" s="84" t="s">
        <v>57</v>
      </c>
      <c r="H10" s="79" t="s">
        <v>57</v>
      </c>
      <c r="I10" s="79" t="s">
        <v>57</v>
      </c>
      <c r="J10" s="84" t="s">
        <v>57</v>
      </c>
      <c r="K10" s="84" t="s">
        <v>57</v>
      </c>
      <c r="L10" s="84" t="s">
        <v>57</v>
      </c>
      <c r="M10" s="79" t="s">
        <v>57</v>
      </c>
      <c r="N10" s="84" t="s">
        <v>187</v>
      </c>
      <c r="O10" s="84" t="s">
        <v>187</v>
      </c>
      <c r="P10" s="84" t="s">
        <v>57</v>
      </c>
      <c r="Q10" s="84" t="s">
        <v>57</v>
      </c>
      <c r="R10" s="84" t="s">
        <v>57</v>
      </c>
      <c r="S10" s="84" t="s">
        <v>57</v>
      </c>
      <c r="T10" s="84" t="s">
        <v>57</v>
      </c>
      <c r="U10" s="84" t="s">
        <v>57</v>
      </c>
      <c r="V10" s="84" t="s">
        <v>57</v>
      </c>
      <c r="W10" s="84" t="s">
        <v>57</v>
      </c>
      <c r="X10" s="84" t="s">
        <v>57</v>
      </c>
      <c r="Y10" s="84" t="s">
        <v>57</v>
      </c>
      <c r="Z10" s="84" t="s">
        <v>57</v>
      </c>
    </row>
    <row r="11" spans="2:26" s="79" customFormat="1" x14ac:dyDescent="0.3">
      <c r="B11" s="78">
        <v>8</v>
      </c>
      <c r="C11" s="79" t="s">
        <v>57</v>
      </c>
      <c r="D11" s="79" t="s">
        <v>57</v>
      </c>
      <c r="E11" s="79" t="s">
        <v>57</v>
      </c>
      <c r="F11" s="79" t="s">
        <v>57</v>
      </c>
      <c r="G11" s="79" t="s">
        <v>57</v>
      </c>
      <c r="H11" s="79" t="s">
        <v>57</v>
      </c>
      <c r="I11" s="79" t="s">
        <v>57</v>
      </c>
      <c r="J11" s="79" t="s">
        <v>57</v>
      </c>
      <c r="K11" s="79" t="s">
        <v>57</v>
      </c>
      <c r="L11" s="79" t="s">
        <v>57</v>
      </c>
      <c r="M11" s="79" t="s">
        <v>57</v>
      </c>
      <c r="N11" s="79" t="s">
        <v>57</v>
      </c>
      <c r="O11" s="79" t="s">
        <v>57</v>
      </c>
      <c r="P11" s="79">
        <v>0</v>
      </c>
      <c r="Q11" s="79" t="s">
        <v>57</v>
      </c>
      <c r="R11" s="79" t="s">
        <v>57</v>
      </c>
      <c r="S11" s="79" t="s">
        <v>57</v>
      </c>
      <c r="T11" s="79" t="s">
        <v>57</v>
      </c>
      <c r="U11" s="79" t="s">
        <v>57</v>
      </c>
      <c r="V11" s="79" t="s">
        <v>57</v>
      </c>
      <c r="W11" s="79" t="s">
        <v>57</v>
      </c>
      <c r="X11" s="79" t="s">
        <v>57</v>
      </c>
      <c r="Y11" s="79" t="s">
        <v>57</v>
      </c>
      <c r="Z11" s="79" t="s">
        <v>57</v>
      </c>
    </row>
    <row r="12" spans="2:26" s="84" customFormat="1" x14ac:dyDescent="0.3">
      <c r="B12" s="83">
        <v>9</v>
      </c>
      <c r="C12" s="84" t="s">
        <v>57</v>
      </c>
      <c r="D12" s="84" t="s">
        <v>57</v>
      </c>
      <c r="E12" s="84" t="s">
        <v>57</v>
      </c>
      <c r="F12" s="84" t="s">
        <v>57</v>
      </c>
      <c r="G12" s="84" t="s">
        <v>57</v>
      </c>
      <c r="H12" s="84" t="s">
        <v>57</v>
      </c>
      <c r="I12" s="79" t="s">
        <v>57</v>
      </c>
      <c r="J12" s="79" t="s">
        <v>57</v>
      </c>
      <c r="K12" s="84" t="s">
        <v>57</v>
      </c>
      <c r="L12" s="84" t="s">
        <v>57</v>
      </c>
      <c r="M12" s="79" t="s">
        <v>57</v>
      </c>
      <c r="N12" s="84" t="s">
        <v>176</v>
      </c>
      <c r="O12" s="84" t="s">
        <v>181</v>
      </c>
      <c r="P12" s="84" t="s">
        <v>160</v>
      </c>
      <c r="Q12" s="84" t="s">
        <v>162</v>
      </c>
      <c r="R12" s="84" t="s">
        <v>57</v>
      </c>
      <c r="S12" s="84" t="s">
        <v>57</v>
      </c>
      <c r="T12" s="84" t="s">
        <v>161</v>
      </c>
      <c r="U12" s="84" t="s">
        <v>152</v>
      </c>
      <c r="V12" s="84" t="s">
        <v>151</v>
      </c>
      <c r="W12" s="84" t="s">
        <v>119</v>
      </c>
      <c r="X12" s="84" t="s">
        <v>57</v>
      </c>
      <c r="Y12" s="84" t="s">
        <v>57</v>
      </c>
      <c r="Z12" s="84" t="s">
        <v>57</v>
      </c>
    </row>
    <row r="13" spans="2:26" s="84" customFormat="1" x14ac:dyDescent="0.3">
      <c r="B13" s="83">
        <v>10</v>
      </c>
      <c r="C13" s="84" t="s">
        <v>57</v>
      </c>
      <c r="D13" s="84" t="s">
        <v>57</v>
      </c>
      <c r="E13" s="84" t="s">
        <v>57</v>
      </c>
      <c r="F13" s="84" t="s">
        <v>57</v>
      </c>
      <c r="G13" s="84" t="s">
        <v>57</v>
      </c>
      <c r="H13" s="84" t="s">
        <v>57</v>
      </c>
      <c r="I13" s="79" t="s">
        <v>57</v>
      </c>
      <c r="J13" s="84" t="s">
        <v>57</v>
      </c>
      <c r="K13" s="79" t="s">
        <v>57</v>
      </c>
      <c r="L13" s="84" t="s">
        <v>57</v>
      </c>
      <c r="M13" s="79" t="s">
        <v>57</v>
      </c>
      <c r="N13" s="84" t="s">
        <v>188</v>
      </c>
      <c r="O13" s="84" t="s">
        <v>188</v>
      </c>
      <c r="P13" s="84" t="s">
        <v>57</v>
      </c>
      <c r="Q13" s="84" t="s">
        <v>57</v>
      </c>
      <c r="R13" s="84" t="s">
        <v>57</v>
      </c>
      <c r="S13" s="84" t="s">
        <v>57</v>
      </c>
      <c r="T13" s="84" t="s">
        <v>57</v>
      </c>
      <c r="U13" s="84" t="s">
        <v>57</v>
      </c>
      <c r="V13" s="84" t="s">
        <v>57</v>
      </c>
      <c r="W13" s="84" t="s">
        <v>57</v>
      </c>
      <c r="X13" s="84" t="s">
        <v>57</v>
      </c>
      <c r="Y13" s="84" t="s">
        <v>57</v>
      </c>
      <c r="Z13" s="84" t="s">
        <v>57</v>
      </c>
    </row>
    <row r="14" spans="2:26" s="84" customFormat="1" x14ac:dyDescent="0.3">
      <c r="B14" s="83">
        <v>22</v>
      </c>
      <c r="C14" s="84" t="s">
        <v>57</v>
      </c>
      <c r="D14" s="84" t="s">
        <v>57</v>
      </c>
      <c r="E14" s="84" t="s">
        <v>57</v>
      </c>
      <c r="F14" s="84" t="s">
        <v>57</v>
      </c>
      <c r="G14" s="84" t="s">
        <v>57</v>
      </c>
      <c r="H14" s="84" t="s">
        <v>57</v>
      </c>
      <c r="I14" s="79" t="s">
        <v>57</v>
      </c>
      <c r="J14" s="84" t="s">
        <v>57</v>
      </c>
      <c r="K14" s="84" t="s">
        <v>57</v>
      </c>
      <c r="L14" s="79" t="s">
        <v>57</v>
      </c>
      <c r="M14" s="79" t="s">
        <v>57</v>
      </c>
      <c r="N14" s="84" t="s">
        <v>57</v>
      </c>
      <c r="O14" s="84" t="s">
        <v>189</v>
      </c>
      <c r="P14" s="84" t="s">
        <v>57</v>
      </c>
      <c r="Q14" s="84" t="s">
        <v>57</v>
      </c>
      <c r="R14" s="84" t="s">
        <v>57</v>
      </c>
      <c r="S14" s="84" t="s">
        <v>57</v>
      </c>
      <c r="T14" s="84" t="s">
        <v>57</v>
      </c>
      <c r="U14" s="84" t="s">
        <v>57</v>
      </c>
      <c r="V14" s="84" t="s">
        <v>57</v>
      </c>
      <c r="W14" s="84" t="s">
        <v>57</v>
      </c>
      <c r="X14" s="84" t="s">
        <v>57</v>
      </c>
      <c r="Y14" s="84" t="s">
        <v>57</v>
      </c>
      <c r="Z14" s="84" t="s">
        <v>57</v>
      </c>
    </row>
    <row r="15" spans="2:26" s="79" customFormat="1" x14ac:dyDescent="0.3">
      <c r="B15" s="78">
        <v>24</v>
      </c>
      <c r="C15" s="79" t="s">
        <v>57</v>
      </c>
      <c r="D15" s="79" t="s">
        <v>57</v>
      </c>
      <c r="E15" s="79" t="s">
        <v>57</v>
      </c>
      <c r="F15" s="79" t="s">
        <v>57</v>
      </c>
      <c r="G15" s="79" t="s">
        <v>57</v>
      </c>
      <c r="H15" s="79" t="s">
        <v>57</v>
      </c>
      <c r="I15" s="79" t="s">
        <v>57</v>
      </c>
      <c r="J15" s="79" t="s">
        <v>57</v>
      </c>
      <c r="K15" s="79" t="s">
        <v>57</v>
      </c>
      <c r="L15" s="79" t="s">
        <v>57</v>
      </c>
      <c r="M15" s="79" t="s">
        <v>57</v>
      </c>
      <c r="N15" s="79" t="s">
        <v>57</v>
      </c>
      <c r="O15" s="79" t="s">
        <v>57</v>
      </c>
      <c r="P15" s="79" t="s">
        <v>57</v>
      </c>
      <c r="Q15" s="79" t="s">
        <v>57</v>
      </c>
      <c r="R15" s="79" t="s">
        <v>57</v>
      </c>
      <c r="S15" s="79" t="s">
        <v>57</v>
      </c>
      <c r="T15" s="79" t="s">
        <v>57</v>
      </c>
      <c r="U15" s="79" t="s">
        <v>57</v>
      </c>
      <c r="V15" s="79" t="s">
        <v>57</v>
      </c>
      <c r="W15" s="79" t="s">
        <v>57</v>
      </c>
      <c r="X15" s="79" t="s">
        <v>57</v>
      </c>
      <c r="Y15" s="79" t="s">
        <v>57</v>
      </c>
      <c r="Z15" s="79" t="s">
        <v>57</v>
      </c>
    </row>
    <row r="16" spans="2:26" x14ac:dyDescent="0.3">
      <c r="B16" s="75">
        <v>26</v>
      </c>
      <c r="C16" s="82" t="s">
        <v>136</v>
      </c>
      <c r="D16" s="82" t="s">
        <v>122</v>
      </c>
      <c r="E16" s="82" t="s">
        <v>121</v>
      </c>
      <c r="F16" s="82" t="s">
        <v>137</v>
      </c>
      <c r="G16" s="82" t="s">
        <v>180</v>
      </c>
      <c r="H16" s="82" t="s">
        <v>187</v>
      </c>
      <c r="I16" s="79" t="s">
        <v>57</v>
      </c>
      <c r="J16" s="82" t="s">
        <v>176</v>
      </c>
      <c r="K16" s="82" t="s">
        <v>188</v>
      </c>
      <c r="L16" s="82" t="s">
        <v>57</v>
      </c>
      <c r="M16" s="79" t="s">
        <v>57</v>
      </c>
      <c r="N16" s="79" t="s">
        <v>57</v>
      </c>
      <c r="O16" t="s">
        <v>57</v>
      </c>
      <c r="P16" t="s">
        <v>57</v>
      </c>
      <c r="Q16" t="s">
        <v>57</v>
      </c>
      <c r="R16" t="s">
        <v>149</v>
      </c>
      <c r="S16" t="s">
        <v>129</v>
      </c>
      <c r="T16" t="s">
        <v>57</v>
      </c>
      <c r="U16" t="s">
        <v>57</v>
      </c>
      <c r="V16" t="s">
        <v>57</v>
      </c>
      <c r="W16" t="s">
        <v>57</v>
      </c>
      <c r="X16" t="s">
        <v>116</v>
      </c>
      <c r="Y16" t="s">
        <v>115</v>
      </c>
      <c r="Z16" t="s">
        <v>111</v>
      </c>
    </row>
    <row r="17" spans="2:26" x14ac:dyDescent="0.3">
      <c r="B17" s="75">
        <v>28</v>
      </c>
      <c r="C17" s="82" t="s">
        <v>178</v>
      </c>
      <c r="D17" s="82" t="s">
        <v>173</v>
      </c>
      <c r="E17" s="82" t="s">
        <v>179</v>
      </c>
      <c r="F17" s="82" t="s">
        <v>191</v>
      </c>
      <c r="G17" s="82" t="s">
        <v>180</v>
      </c>
      <c r="H17" s="82" t="s">
        <v>187</v>
      </c>
      <c r="I17" s="79" t="s">
        <v>57</v>
      </c>
      <c r="J17" t="s">
        <v>181</v>
      </c>
      <c r="K17" s="82" t="s">
        <v>188</v>
      </c>
      <c r="L17" s="82" t="s">
        <v>189</v>
      </c>
      <c r="M17" s="79" t="s">
        <v>57</v>
      </c>
      <c r="N17" t="s">
        <v>57</v>
      </c>
      <c r="O17" s="79" t="s">
        <v>57</v>
      </c>
      <c r="P17" t="s">
        <v>57</v>
      </c>
      <c r="Q17" t="s">
        <v>57</v>
      </c>
      <c r="R17" t="s">
        <v>158</v>
      </c>
      <c r="S17" t="s">
        <v>148</v>
      </c>
      <c r="T17" t="s">
        <v>57</v>
      </c>
      <c r="U17" t="s">
        <v>57</v>
      </c>
      <c r="V17" t="s">
        <v>57</v>
      </c>
      <c r="W17" t="s">
        <v>57</v>
      </c>
      <c r="X17" t="s">
        <v>128</v>
      </c>
      <c r="Y17" t="s">
        <v>114</v>
      </c>
      <c r="Z17" t="s">
        <v>139</v>
      </c>
    </row>
    <row r="18" spans="2:26" x14ac:dyDescent="0.3">
      <c r="B18" s="75">
        <v>30</v>
      </c>
      <c r="C18" s="82" t="s">
        <v>192</v>
      </c>
      <c r="D18" s="82" t="s">
        <v>150</v>
      </c>
      <c r="E18" s="82" t="s">
        <v>57</v>
      </c>
      <c r="F18" s="82" t="s">
        <v>182</v>
      </c>
      <c r="G18" s="82" t="s">
        <v>57</v>
      </c>
      <c r="H18" s="82" t="s">
        <v>57</v>
      </c>
      <c r="I18" s="79">
        <v>0</v>
      </c>
      <c r="J18" t="s">
        <v>160</v>
      </c>
      <c r="K18" s="82" t="s">
        <v>57</v>
      </c>
      <c r="L18" s="82" t="s">
        <v>57</v>
      </c>
      <c r="M18" s="79" t="s">
        <v>57</v>
      </c>
      <c r="N18" t="s">
        <v>57</v>
      </c>
      <c r="O18" t="s">
        <v>57</v>
      </c>
      <c r="P18" s="79" t="s">
        <v>57</v>
      </c>
      <c r="Q18" t="s">
        <v>57</v>
      </c>
      <c r="R18" t="s">
        <v>190</v>
      </c>
      <c r="S18" t="s">
        <v>163</v>
      </c>
      <c r="T18" t="s">
        <v>57</v>
      </c>
      <c r="U18" t="s">
        <v>57</v>
      </c>
      <c r="V18" t="s">
        <v>57</v>
      </c>
      <c r="W18" t="s">
        <v>57</v>
      </c>
      <c r="X18" t="s">
        <v>155</v>
      </c>
      <c r="Y18" t="s">
        <v>154</v>
      </c>
      <c r="Z18" t="s">
        <v>25</v>
      </c>
    </row>
    <row r="19" spans="2:26" x14ac:dyDescent="0.3">
      <c r="B19" s="75">
        <v>32</v>
      </c>
      <c r="C19" s="82" t="s">
        <v>184</v>
      </c>
      <c r="D19" s="82" t="s">
        <v>172</v>
      </c>
      <c r="E19" s="82" t="s">
        <v>170</v>
      </c>
      <c r="F19" s="82" t="s">
        <v>195</v>
      </c>
      <c r="G19" s="82" t="s">
        <v>57</v>
      </c>
      <c r="H19" s="82" t="s">
        <v>57</v>
      </c>
      <c r="I19" s="79" t="s">
        <v>57</v>
      </c>
      <c r="J19" t="s">
        <v>162</v>
      </c>
      <c r="K19" s="82" t="s">
        <v>57</v>
      </c>
      <c r="L19" s="82" t="s">
        <v>57</v>
      </c>
      <c r="M19" s="79" t="s">
        <v>57</v>
      </c>
      <c r="N19" t="s">
        <v>57</v>
      </c>
      <c r="O19" t="s">
        <v>57</v>
      </c>
      <c r="P19" t="s">
        <v>57</v>
      </c>
      <c r="Q19" s="79" t="s">
        <v>57</v>
      </c>
      <c r="R19" t="s">
        <v>168</v>
      </c>
      <c r="S19" t="s">
        <v>164</v>
      </c>
      <c r="T19" t="s">
        <v>57</v>
      </c>
      <c r="U19" t="s">
        <v>57</v>
      </c>
      <c r="V19" t="s">
        <v>57</v>
      </c>
      <c r="W19" t="s">
        <v>57</v>
      </c>
      <c r="X19" t="s">
        <v>156</v>
      </c>
      <c r="Y19" t="s">
        <v>134</v>
      </c>
      <c r="Z19" t="s">
        <v>169</v>
      </c>
    </row>
    <row r="20" spans="2:26" x14ac:dyDescent="0.3">
      <c r="B20" s="75">
        <v>34</v>
      </c>
      <c r="C20" s="82" t="s">
        <v>57</v>
      </c>
      <c r="D20" s="82" t="s">
        <v>57</v>
      </c>
      <c r="E20" s="82" t="s">
        <v>57</v>
      </c>
      <c r="F20" s="82" t="s">
        <v>57</v>
      </c>
      <c r="G20" s="82" t="s">
        <v>57</v>
      </c>
      <c r="H20" s="82" t="s">
        <v>57</v>
      </c>
      <c r="I20" s="79" t="s">
        <v>57</v>
      </c>
      <c r="J20" t="s">
        <v>57</v>
      </c>
      <c r="K20" s="82" t="s">
        <v>57</v>
      </c>
      <c r="L20" s="82" t="s">
        <v>57</v>
      </c>
      <c r="M20" s="79" t="s">
        <v>57</v>
      </c>
      <c r="N20" t="s">
        <v>149</v>
      </c>
      <c r="O20" t="s">
        <v>158</v>
      </c>
      <c r="P20" t="s">
        <v>190</v>
      </c>
      <c r="Q20" t="s">
        <v>168</v>
      </c>
      <c r="R20" s="79" t="s">
        <v>57</v>
      </c>
      <c r="S20" t="s">
        <v>57</v>
      </c>
      <c r="T20" t="s">
        <v>166</v>
      </c>
      <c r="U20" t="s">
        <v>167</v>
      </c>
      <c r="V20" t="s">
        <v>159</v>
      </c>
      <c r="W20" t="s">
        <v>130</v>
      </c>
      <c r="X20" t="s">
        <v>57</v>
      </c>
      <c r="Y20" t="s">
        <v>57</v>
      </c>
      <c r="Z20" t="s">
        <v>57</v>
      </c>
    </row>
    <row r="21" spans="2:26" x14ac:dyDescent="0.3">
      <c r="B21" s="75">
        <v>36</v>
      </c>
      <c r="C21" s="82" t="s">
        <v>57</v>
      </c>
      <c r="D21" s="82" t="s">
        <v>57</v>
      </c>
      <c r="E21" s="82" t="s">
        <v>57</v>
      </c>
      <c r="F21" s="82" t="s">
        <v>57</v>
      </c>
      <c r="G21" s="82" t="s">
        <v>57</v>
      </c>
      <c r="H21" s="82" t="s">
        <v>57</v>
      </c>
      <c r="I21" s="79" t="s">
        <v>57</v>
      </c>
      <c r="J21" t="s">
        <v>57</v>
      </c>
      <c r="K21" s="82" t="s">
        <v>57</v>
      </c>
      <c r="L21" s="82" t="s">
        <v>57</v>
      </c>
      <c r="M21" s="79" t="s">
        <v>57</v>
      </c>
      <c r="N21" t="s">
        <v>129</v>
      </c>
      <c r="O21" t="s">
        <v>148</v>
      </c>
      <c r="P21" t="s">
        <v>163</v>
      </c>
      <c r="Q21" t="s">
        <v>164</v>
      </c>
      <c r="R21" t="s">
        <v>57</v>
      </c>
      <c r="S21" s="79" t="s">
        <v>57</v>
      </c>
      <c r="T21" t="s">
        <v>165</v>
      </c>
      <c r="U21">
        <v>0</v>
      </c>
      <c r="V21" t="s">
        <v>157</v>
      </c>
      <c r="W21" t="s">
        <v>118</v>
      </c>
      <c r="X21" t="s">
        <v>57</v>
      </c>
      <c r="Y21" t="s">
        <v>57</v>
      </c>
      <c r="Z21" t="s">
        <v>57</v>
      </c>
    </row>
    <row r="22" spans="2:26" x14ac:dyDescent="0.3">
      <c r="B22" s="75">
        <v>38</v>
      </c>
      <c r="C22" s="82" t="s">
        <v>57</v>
      </c>
      <c r="D22" s="82" t="s">
        <v>171</v>
      </c>
      <c r="E22" s="82" t="s">
        <v>185</v>
      </c>
      <c r="F22" s="82" t="s">
        <v>193</v>
      </c>
      <c r="G22" s="82" t="s">
        <v>57</v>
      </c>
      <c r="H22" s="82" t="s">
        <v>57</v>
      </c>
      <c r="I22" s="79" t="s">
        <v>57</v>
      </c>
      <c r="J22" t="s">
        <v>161</v>
      </c>
      <c r="K22" s="82" t="s">
        <v>57</v>
      </c>
      <c r="L22" s="82" t="s">
        <v>57</v>
      </c>
      <c r="M22" s="79" t="s">
        <v>57</v>
      </c>
      <c r="N22" t="s">
        <v>57</v>
      </c>
      <c r="O22" t="s">
        <v>57</v>
      </c>
      <c r="P22" t="s">
        <v>57</v>
      </c>
      <c r="Q22" t="s">
        <v>57</v>
      </c>
      <c r="R22" t="s">
        <v>166</v>
      </c>
      <c r="S22" t="s">
        <v>165</v>
      </c>
      <c r="T22" s="79" t="s">
        <v>57</v>
      </c>
      <c r="U22" t="s">
        <v>57</v>
      </c>
      <c r="V22" t="s">
        <v>57</v>
      </c>
      <c r="W22" t="s">
        <v>57</v>
      </c>
      <c r="X22" t="s">
        <v>147</v>
      </c>
      <c r="Y22" t="s">
        <v>125</v>
      </c>
      <c r="Z22" t="s">
        <v>124</v>
      </c>
    </row>
    <row r="23" spans="2:26" x14ac:dyDescent="0.3">
      <c r="B23" s="75">
        <v>40</v>
      </c>
      <c r="C23" s="82" t="s">
        <v>142</v>
      </c>
      <c r="D23" s="82" t="s">
        <v>143</v>
      </c>
      <c r="E23" s="82" t="s">
        <v>133</v>
      </c>
      <c r="F23" s="82" t="s">
        <v>153</v>
      </c>
      <c r="G23" s="82" t="s">
        <v>57</v>
      </c>
      <c r="H23" s="82" t="s">
        <v>57</v>
      </c>
      <c r="I23" s="79" t="s">
        <v>57</v>
      </c>
      <c r="J23" t="s">
        <v>152</v>
      </c>
      <c r="K23" s="82" t="s">
        <v>57</v>
      </c>
      <c r="L23" s="82" t="s">
        <v>57</v>
      </c>
      <c r="M23" s="79" t="s">
        <v>57</v>
      </c>
      <c r="N23" t="s">
        <v>57</v>
      </c>
      <c r="O23" t="s">
        <v>57</v>
      </c>
      <c r="P23" t="s">
        <v>57</v>
      </c>
      <c r="Q23" t="s">
        <v>57</v>
      </c>
      <c r="R23" t="s">
        <v>167</v>
      </c>
      <c r="S23">
        <v>0</v>
      </c>
      <c r="T23" t="s">
        <v>57</v>
      </c>
      <c r="U23" s="79" t="s">
        <v>57</v>
      </c>
      <c r="V23" t="s">
        <v>57</v>
      </c>
      <c r="W23" t="s">
        <v>57</v>
      </c>
      <c r="X23" t="s">
        <v>146</v>
      </c>
      <c r="Y23" t="s">
        <v>145</v>
      </c>
      <c r="Z23" t="s">
        <v>174</v>
      </c>
    </row>
    <row r="24" spans="2:26" x14ac:dyDescent="0.3">
      <c r="B24" s="75">
        <v>42</v>
      </c>
      <c r="C24" s="82" t="s">
        <v>141</v>
      </c>
      <c r="D24" s="82" t="s">
        <v>140</v>
      </c>
      <c r="E24" s="82" t="s">
        <v>132</v>
      </c>
      <c r="F24" s="82" t="s">
        <v>131</v>
      </c>
      <c r="G24" s="82" t="s">
        <v>57</v>
      </c>
      <c r="H24" s="82" t="s">
        <v>57</v>
      </c>
      <c r="I24" s="79" t="s">
        <v>57</v>
      </c>
      <c r="J24" t="s">
        <v>151</v>
      </c>
      <c r="K24" s="82" t="s">
        <v>57</v>
      </c>
      <c r="L24" s="82" t="s">
        <v>57</v>
      </c>
      <c r="M24" s="79" t="s">
        <v>57</v>
      </c>
      <c r="N24" t="s">
        <v>57</v>
      </c>
      <c r="O24" t="s">
        <v>57</v>
      </c>
      <c r="P24" t="s">
        <v>57</v>
      </c>
      <c r="Q24" t="s">
        <v>57</v>
      </c>
      <c r="R24" t="s">
        <v>159</v>
      </c>
      <c r="S24" t="s">
        <v>157</v>
      </c>
      <c r="T24" t="s">
        <v>57</v>
      </c>
      <c r="U24" t="s">
        <v>57</v>
      </c>
      <c r="V24" s="79" t="s">
        <v>57</v>
      </c>
      <c r="W24" t="s">
        <v>57</v>
      </c>
      <c r="X24" t="s">
        <v>127</v>
      </c>
      <c r="Y24" t="s">
        <v>126</v>
      </c>
      <c r="Z24" t="s">
        <v>144</v>
      </c>
    </row>
    <row r="25" spans="2:26" x14ac:dyDescent="0.3">
      <c r="B25" s="75">
        <v>44</v>
      </c>
      <c r="C25" s="82" t="s">
        <v>135</v>
      </c>
      <c r="D25" s="82" t="s">
        <v>123</v>
      </c>
      <c r="E25" s="82" t="s">
        <v>120</v>
      </c>
      <c r="F25" s="82" t="s">
        <v>138</v>
      </c>
      <c r="G25" s="82" t="s">
        <v>57</v>
      </c>
      <c r="H25" s="82" t="s">
        <v>57</v>
      </c>
      <c r="I25" s="79" t="s">
        <v>57</v>
      </c>
      <c r="J25" t="s">
        <v>119</v>
      </c>
      <c r="K25" s="82" t="s">
        <v>57</v>
      </c>
      <c r="L25" s="82" t="s">
        <v>57</v>
      </c>
      <c r="M25" s="79" t="s">
        <v>57</v>
      </c>
      <c r="N25" t="s">
        <v>57</v>
      </c>
      <c r="O25" t="s">
        <v>57</v>
      </c>
      <c r="P25" t="s">
        <v>57</v>
      </c>
      <c r="Q25" t="s">
        <v>57</v>
      </c>
      <c r="R25" t="s">
        <v>130</v>
      </c>
      <c r="S25" t="s">
        <v>118</v>
      </c>
      <c r="T25" t="s">
        <v>57</v>
      </c>
      <c r="U25" t="s">
        <v>57</v>
      </c>
      <c r="V25" t="s">
        <v>57</v>
      </c>
      <c r="W25" s="79" t="s">
        <v>57</v>
      </c>
      <c r="X25" t="s">
        <v>117</v>
      </c>
      <c r="Y25" t="s">
        <v>113</v>
      </c>
      <c r="Z25" t="s">
        <v>112</v>
      </c>
    </row>
    <row r="26" spans="2:26" s="82" customFormat="1" x14ac:dyDescent="0.3">
      <c r="B26" s="81">
        <v>46</v>
      </c>
      <c r="C26" s="82" t="s">
        <v>57</v>
      </c>
      <c r="D26" s="82" t="s">
        <v>57</v>
      </c>
      <c r="E26" s="82" t="s">
        <v>57</v>
      </c>
      <c r="F26" s="82" t="s">
        <v>57</v>
      </c>
      <c r="G26" s="82" t="s">
        <v>57</v>
      </c>
      <c r="H26" s="82" t="s">
        <v>57</v>
      </c>
      <c r="I26" s="82" t="s">
        <v>57</v>
      </c>
      <c r="J26" s="82" t="s">
        <v>57</v>
      </c>
      <c r="K26" s="82" t="s">
        <v>57</v>
      </c>
      <c r="L26" s="82" t="s">
        <v>57</v>
      </c>
      <c r="M26" s="82" t="s">
        <v>57</v>
      </c>
      <c r="N26" s="82" t="s">
        <v>116</v>
      </c>
      <c r="O26" s="82" t="s">
        <v>128</v>
      </c>
      <c r="P26" s="82" t="s">
        <v>155</v>
      </c>
      <c r="Q26" s="82" t="s">
        <v>156</v>
      </c>
      <c r="R26" s="82" t="s">
        <v>57</v>
      </c>
      <c r="S26" s="82" t="s">
        <v>57</v>
      </c>
      <c r="T26" s="82" t="s">
        <v>147</v>
      </c>
      <c r="U26" s="82" t="s">
        <v>146</v>
      </c>
      <c r="V26" s="82" t="s">
        <v>127</v>
      </c>
      <c r="W26" s="82" t="s">
        <v>117</v>
      </c>
      <c r="X26" s="79" t="s">
        <v>57</v>
      </c>
      <c r="Y26" s="82" t="s">
        <v>57</v>
      </c>
      <c r="Z26" s="82" t="s">
        <v>57</v>
      </c>
    </row>
    <row r="27" spans="2:26" s="82" customFormat="1" x14ac:dyDescent="0.3">
      <c r="B27" s="81">
        <v>48</v>
      </c>
      <c r="C27" s="82" t="s">
        <v>57</v>
      </c>
      <c r="D27" s="82" t="s">
        <v>57</v>
      </c>
      <c r="E27" s="82" t="s">
        <v>57</v>
      </c>
      <c r="F27" s="82" t="s">
        <v>57</v>
      </c>
      <c r="G27" s="82" t="s">
        <v>57</v>
      </c>
      <c r="H27" s="82" t="s">
        <v>57</v>
      </c>
      <c r="I27" s="82" t="s">
        <v>57</v>
      </c>
      <c r="J27" s="82" t="s">
        <v>57</v>
      </c>
      <c r="K27" s="82" t="s">
        <v>57</v>
      </c>
      <c r="L27" s="82" t="s">
        <v>57</v>
      </c>
      <c r="M27" s="82" t="s">
        <v>57</v>
      </c>
      <c r="N27" s="82" t="s">
        <v>115</v>
      </c>
      <c r="O27" s="82" t="s">
        <v>114</v>
      </c>
      <c r="P27" s="82" t="s">
        <v>154</v>
      </c>
      <c r="Q27" s="82" t="s">
        <v>134</v>
      </c>
      <c r="R27" s="82" t="s">
        <v>57</v>
      </c>
      <c r="S27" s="82" t="s">
        <v>57</v>
      </c>
      <c r="T27" s="82" t="s">
        <v>125</v>
      </c>
      <c r="U27" s="82" t="s">
        <v>145</v>
      </c>
      <c r="V27" s="82" t="s">
        <v>126</v>
      </c>
      <c r="W27" s="82" t="s">
        <v>113</v>
      </c>
      <c r="X27" s="82" t="s">
        <v>57</v>
      </c>
      <c r="Y27" s="79" t="s">
        <v>57</v>
      </c>
      <c r="Z27" s="82" t="s">
        <v>57</v>
      </c>
    </row>
    <row r="28" spans="2:26" s="82" customFormat="1" x14ac:dyDescent="0.3">
      <c r="B28" s="81">
        <v>50</v>
      </c>
      <c r="C28" s="82" t="s">
        <v>57</v>
      </c>
      <c r="D28" s="82" t="s">
        <v>57</v>
      </c>
      <c r="E28" s="82" t="s">
        <v>57</v>
      </c>
      <c r="F28" s="82" t="s">
        <v>57</v>
      </c>
      <c r="G28" s="82" t="s">
        <v>57</v>
      </c>
      <c r="H28" s="82" t="s">
        <v>57</v>
      </c>
      <c r="I28" s="82" t="s">
        <v>57</v>
      </c>
      <c r="J28" s="82" t="s">
        <v>57</v>
      </c>
      <c r="K28" s="82" t="s">
        <v>57</v>
      </c>
      <c r="L28" s="82" t="s">
        <v>57</v>
      </c>
      <c r="M28" s="82" t="s">
        <v>57</v>
      </c>
      <c r="N28" s="82" t="s">
        <v>111</v>
      </c>
      <c r="O28" s="82" t="s">
        <v>139</v>
      </c>
      <c r="P28" s="82" t="s">
        <v>25</v>
      </c>
      <c r="Q28" s="82" t="s">
        <v>169</v>
      </c>
      <c r="R28" s="82" t="s">
        <v>57</v>
      </c>
      <c r="S28" s="82" t="s">
        <v>57</v>
      </c>
      <c r="T28" s="82" t="s">
        <v>124</v>
      </c>
      <c r="U28" s="82" t="s">
        <v>174</v>
      </c>
      <c r="V28" s="82" t="s">
        <v>144</v>
      </c>
      <c r="W28" s="82" t="s">
        <v>112</v>
      </c>
      <c r="X28" s="82" t="s">
        <v>57</v>
      </c>
      <c r="Y28" s="82" t="s">
        <v>57</v>
      </c>
      <c r="Z28" s="79" t="s">
        <v>57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Z31"/>
  <sheetViews>
    <sheetView topLeftCell="B1" workbookViewId="0">
      <pane xSplit="1" ySplit="24" topLeftCell="C25" activePane="bottomRight" state="frozenSplit"/>
      <selection pane="topRight" activeCell="O1" sqref="O1"/>
      <selection pane="bottomLeft" activeCell="B26" sqref="B26"/>
      <selection pane="bottomRight" activeCell="P7" sqref="P7"/>
    </sheetView>
  </sheetViews>
  <sheetFormatPr defaultRowHeight="14.4" x14ac:dyDescent="0.3"/>
  <cols>
    <col min="2" max="2" width="4.21875" customWidth="1"/>
    <col min="10" max="10" width="13.21875" customWidth="1"/>
    <col min="18" max="19" width="8.88671875" style="80"/>
    <col min="24" max="26" width="8.88671875" style="80"/>
  </cols>
  <sheetData>
    <row r="1" spans="2:26" x14ac:dyDescent="0.3"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</row>
    <row r="2" spans="2:26" x14ac:dyDescent="0.3"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</row>
    <row r="3" spans="2:26" x14ac:dyDescent="0.3"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</row>
    <row r="4" spans="2:26" x14ac:dyDescent="0.3">
      <c r="B4" s="75" t="s">
        <v>94</v>
      </c>
      <c r="C4" s="78">
        <v>2</v>
      </c>
      <c r="D4" s="78">
        <v>3</v>
      </c>
      <c r="E4" s="78">
        <v>4</v>
      </c>
      <c r="F4" s="78">
        <v>5</v>
      </c>
      <c r="G4" s="78">
        <v>6</v>
      </c>
      <c r="H4" s="78">
        <v>7</v>
      </c>
      <c r="I4" s="78">
        <v>8</v>
      </c>
      <c r="J4" s="78">
        <v>9</v>
      </c>
      <c r="K4" s="78">
        <v>10</v>
      </c>
      <c r="L4" s="78">
        <v>22</v>
      </c>
      <c r="M4" s="78">
        <v>24</v>
      </c>
      <c r="N4" s="75">
        <v>26</v>
      </c>
      <c r="O4" s="75">
        <v>28</v>
      </c>
      <c r="P4" s="75">
        <v>30</v>
      </c>
      <c r="Q4" s="75">
        <v>32</v>
      </c>
      <c r="R4" s="78">
        <v>34</v>
      </c>
      <c r="S4" s="78">
        <v>36</v>
      </c>
      <c r="T4" s="75">
        <v>38</v>
      </c>
      <c r="U4" s="75">
        <v>40</v>
      </c>
      <c r="V4" s="75">
        <v>42</v>
      </c>
      <c r="W4" s="75">
        <v>44</v>
      </c>
      <c r="X4" s="78">
        <v>46</v>
      </c>
      <c r="Y4" s="78">
        <v>48</v>
      </c>
      <c r="Z4" s="78">
        <v>50</v>
      </c>
    </row>
    <row r="5" spans="2:26" x14ac:dyDescent="0.3">
      <c r="B5" s="83">
        <v>2</v>
      </c>
      <c r="C5" s="80" t="s">
        <v>57</v>
      </c>
      <c r="D5" s="80" t="s">
        <v>57</v>
      </c>
      <c r="E5" s="80" t="s">
        <v>57</v>
      </c>
      <c r="F5" s="80" t="s">
        <v>57</v>
      </c>
      <c r="G5" s="80" t="s">
        <v>57</v>
      </c>
      <c r="H5" s="80" t="s">
        <v>57</v>
      </c>
      <c r="I5" s="80" t="s">
        <v>57</v>
      </c>
      <c r="J5" s="80" t="s">
        <v>57</v>
      </c>
      <c r="K5" s="80" t="s">
        <v>57</v>
      </c>
      <c r="L5" s="80" t="s">
        <v>57</v>
      </c>
      <c r="M5" s="80" t="s">
        <v>57</v>
      </c>
      <c r="N5" s="84" t="s">
        <v>136</v>
      </c>
      <c r="O5" s="84" t="s">
        <v>178</v>
      </c>
      <c r="P5" s="84" t="s">
        <v>192</v>
      </c>
      <c r="Q5" s="84" t="s">
        <v>184</v>
      </c>
      <c r="R5" s="80" t="s">
        <v>57</v>
      </c>
      <c r="S5" s="80" t="s">
        <v>57</v>
      </c>
      <c r="T5" s="84" t="s">
        <v>57</v>
      </c>
      <c r="U5" s="84" t="s">
        <v>142</v>
      </c>
      <c r="V5" s="84" t="s">
        <v>141</v>
      </c>
      <c r="W5" s="84" t="s">
        <v>135</v>
      </c>
      <c r="X5" s="80" t="s">
        <v>57</v>
      </c>
      <c r="Y5" s="80" t="s">
        <v>57</v>
      </c>
      <c r="Z5" s="80" t="s">
        <v>57</v>
      </c>
    </row>
    <row r="6" spans="2:26" x14ac:dyDescent="0.3">
      <c r="B6" s="83">
        <v>3</v>
      </c>
      <c r="C6" s="80" t="s">
        <v>57</v>
      </c>
      <c r="D6" s="80" t="s">
        <v>57</v>
      </c>
      <c r="E6" s="80" t="s">
        <v>57</v>
      </c>
      <c r="F6" s="80" t="s">
        <v>57</v>
      </c>
      <c r="G6" s="80" t="s">
        <v>57</v>
      </c>
      <c r="H6" s="80" t="s">
        <v>57</v>
      </c>
      <c r="I6" s="80" t="s">
        <v>57</v>
      </c>
      <c r="J6" s="80" t="s">
        <v>57</v>
      </c>
      <c r="K6" s="80" t="s">
        <v>57</v>
      </c>
      <c r="L6" s="80" t="s">
        <v>57</v>
      </c>
      <c r="M6" s="80" t="s">
        <v>57</v>
      </c>
      <c r="N6" s="84" t="s">
        <v>122</v>
      </c>
      <c r="O6" s="84" t="s">
        <v>173</v>
      </c>
      <c r="P6" s="84" t="s">
        <v>150</v>
      </c>
      <c r="Q6" s="84" t="s">
        <v>172</v>
      </c>
      <c r="R6" s="80" t="s">
        <v>57</v>
      </c>
      <c r="S6" s="80" t="s">
        <v>57</v>
      </c>
      <c r="T6" s="84" t="s">
        <v>171</v>
      </c>
      <c r="U6" s="84" t="s">
        <v>143</v>
      </c>
      <c r="V6" s="84" t="s">
        <v>140</v>
      </c>
      <c r="W6" s="84" t="s">
        <v>123</v>
      </c>
      <c r="X6" s="80" t="s">
        <v>57</v>
      </c>
      <c r="Y6" s="80" t="s">
        <v>57</v>
      </c>
      <c r="Z6" s="80" t="s">
        <v>57</v>
      </c>
    </row>
    <row r="7" spans="2:26" x14ac:dyDescent="0.3">
      <c r="B7" s="83">
        <v>4</v>
      </c>
      <c r="C7" s="80" t="s">
        <v>57</v>
      </c>
      <c r="D7" s="80" t="s">
        <v>57</v>
      </c>
      <c r="E7" s="80" t="s">
        <v>57</v>
      </c>
      <c r="F7" s="80" t="s">
        <v>57</v>
      </c>
      <c r="G7" s="80" t="s">
        <v>57</v>
      </c>
      <c r="H7" s="80" t="s">
        <v>57</v>
      </c>
      <c r="I7" s="80" t="s">
        <v>57</v>
      </c>
      <c r="J7" s="80" t="s">
        <v>57</v>
      </c>
      <c r="K7" s="80" t="s">
        <v>57</v>
      </c>
      <c r="L7" s="80" t="s">
        <v>57</v>
      </c>
      <c r="M7" s="80" t="s">
        <v>57</v>
      </c>
      <c r="N7" s="84" t="s">
        <v>121</v>
      </c>
      <c r="O7" s="84" t="s">
        <v>179</v>
      </c>
      <c r="P7" s="84" t="s">
        <v>57</v>
      </c>
      <c r="Q7" s="84" t="s">
        <v>170</v>
      </c>
      <c r="R7" s="80" t="s">
        <v>57</v>
      </c>
      <c r="S7" s="80" t="s">
        <v>57</v>
      </c>
      <c r="T7" s="84" t="s">
        <v>185</v>
      </c>
      <c r="U7" s="84" t="s">
        <v>133</v>
      </c>
      <c r="V7" s="84" t="s">
        <v>132</v>
      </c>
      <c r="W7" s="84" t="s">
        <v>120</v>
      </c>
      <c r="X7" s="80" t="s">
        <v>57</v>
      </c>
      <c r="Y7" s="80" t="s">
        <v>57</v>
      </c>
      <c r="Z7" s="80" t="s">
        <v>57</v>
      </c>
    </row>
    <row r="8" spans="2:26" x14ac:dyDescent="0.3">
      <c r="B8" s="83">
        <v>5</v>
      </c>
      <c r="C8" s="80" t="s">
        <v>57</v>
      </c>
      <c r="D8" s="80" t="s">
        <v>57</v>
      </c>
      <c r="E8" s="80" t="s">
        <v>57</v>
      </c>
      <c r="F8" s="80" t="s">
        <v>57</v>
      </c>
      <c r="G8" s="80" t="s">
        <v>57</v>
      </c>
      <c r="H8" s="80" t="s">
        <v>57</v>
      </c>
      <c r="I8" s="80" t="s">
        <v>57</v>
      </c>
      <c r="J8" s="80" t="s">
        <v>57</v>
      </c>
      <c r="K8" s="80" t="s">
        <v>57</v>
      </c>
      <c r="L8" s="80" t="s">
        <v>57</v>
      </c>
      <c r="M8" s="80" t="s">
        <v>57</v>
      </c>
      <c r="N8" s="84" t="s">
        <v>137</v>
      </c>
      <c r="O8" s="84" t="s">
        <v>191</v>
      </c>
      <c r="P8" s="84" t="s">
        <v>182</v>
      </c>
      <c r="Q8" s="84" t="s">
        <v>195</v>
      </c>
      <c r="R8" s="80" t="s">
        <v>57</v>
      </c>
      <c r="S8" s="80" t="s">
        <v>57</v>
      </c>
      <c r="T8" s="84" t="s">
        <v>193</v>
      </c>
      <c r="U8" s="84" t="s">
        <v>153</v>
      </c>
      <c r="V8" s="84" t="s">
        <v>131</v>
      </c>
      <c r="W8" s="84" t="s">
        <v>138</v>
      </c>
      <c r="X8" s="80" t="s">
        <v>57</v>
      </c>
      <c r="Y8" s="80" t="s">
        <v>57</v>
      </c>
      <c r="Z8" s="80" t="s">
        <v>57</v>
      </c>
    </row>
    <row r="9" spans="2:26" x14ac:dyDescent="0.3">
      <c r="B9" s="83">
        <v>6</v>
      </c>
      <c r="C9" s="80" t="s">
        <v>57</v>
      </c>
      <c r="D9" s="80" t="s">
        <v>57</v>
      </c>
      <c r="E9" s="80" t="s">
        <v>57</v>
      </c>
      <c r="F9" s="80" t="s">
        <v>57</v>
      </c>
      <c r="G9" s="80" t="s">
        <v>57</v>
      </c>
      <c r="H9" s="80" t="s">
        <v>57</v>
      </c>
      <c r="I9" s="80" t="s">
        <v>57</v>
      </c>
      <c r="J9" s="80" t="s">
        <v>57</v>
      </c>
      <c r="K9" s="80" t="s">
        <v>57</v>
      </c>
      <c r="L9" s="80" t="s">
        <v>57</v>
      </c>
      <c r="M9" s="80" t="s">
        <v>57</v>
      </c>
      <c r="N9" s="84" t="s">
        <v>180</v>
      </c>
      <c r="O9" s="84" t="s">
        <v>180</v>
      </c>
      <c r="P9" s="84" t="s">
        <v>57</v>
      </c>
      <c r="Q9" s="84" t="s">
        <v>57</v>
      </c>
      <c r="R9" s="80" t="s">
        <v>57</v>
      </c>
      <c r="S9" s="80" t="s">
        <v>57</v>
      </c>
      <c r="T9" s="84" t="s">
        <v>57</v>
      </c>
      <c r="U9" s="84" t="s">
        <v>57</v>
      </c>
      <c r="V9" s="84" t="s">
        <v>57</v>
      </c>
      <c r="W9" s="84" t="s">
        <v>57</v>
      </c>
      <c r="X9" s="80" t="s">
        <v>57</v>
      </c>
      <c r="Y9" s="80" t="s">
        <v>57</v>
      </c>
      <c r="Z9" s="80" t="s">
        <v>57</v>
      </c>
    </row>
    <row r="10" spans="2:26" x14ac:dyDescent="0.3">
      <c r="B10" s="83">
        <v>7</v>
      </c>
      <c r="C10" s="80" t="s">
        <v>57</v>
      </c>
      <c r="D10" s="80" t="s">
        <v>57</v>
      </c>
      <c r="E10" s="80" t="s">
        <v>57</v>
      </c>
      <c r="F10" s="80" t="s">
        <v>57</v>
      </c>
      <c r="G10" s="80" t="s">
        <v>57</v>
      </c>
      <c r="H10" s="80" t="s">
        <v>57</v>
      </c>
      <c r="I10" s="80" t="s">
        <v>57</v>
      </c>
      <c r="J10" s="80" t="s">
        <v>57</v>
      </c>
      <c r="K10" s="80" t="s">
        <v>57</v>
      </c>
      <c r="L10" s="80" t="s">
        <v>57</v>
      </c>
      <c r="M10" s="80" t="s">
        <v>57</v>
      </c>
      <c r="N10" s="84" t="s">
        <v>187</v>
      </c>
      <c r="O10" s="84" t="s">
        <v>187</v>
      </c>
      <c r="P10" s="84" t="s">
        <v>57</v>
      </c>
      <c r="Q10" s="84" t="s">
        <v>57</v>
      </c>
      <c r="R10" s="80" t="s">
        <v>57</v>
      </c>
      <c r="S10" s="80" t="s">
        <v>57</v>
      </c>
      <c r="T10" s="84" t="s">
        <v>57</v>
      </c>
      <c r="U10" s="84" t="s">
        <v>57</v>
      </c>
      <c r="V10" s="84" t="s">
        <v>57</v>
      </c>
      <c r="W10" s="84" t="s">
        <v>57</v>
      </c>
      <c r="X10" s="80" t="s">
        <v>57</v>
      </c>
      <c r="Y10" s="80" t="s">
        <v>57</v>
      </c>
      <c r="Z10" s="80" t="s">
        <v>57</v>
      </c>
    </row>
    <row r="11" spans="2:26" x14ac:dyDescent="0.3">
      <c r="B11" s="78">
        <v>8</v>
      </c>
      <c r="C11" s="80" t="s">
        <v>57</v>
      </c>
      <c r="D11" s="80" t="s">
        <v>57</v>
      </c>
      <c r="E11" s="80" t="s">
        <v>57</v>
      </c>
      <c r="F11" s="80" t="s">
        <v>57</v>
      </c>
      <c r="G11" s="80" t="s">
        <v>57</v>
      </c>
      <c r="H11" s="80" t="s">
        <v>57</v>
      </c>
      <c r="I11" s="80" t="s">
        <v>57</v>
      </c>
      <c r="J11" s="80" t="s">
        <v>57</v>
      </c>
      <c r="K11" s="80" t="s">
        <v>57</v>
      </c>
      <c r="L11" s="80" t="s">
        <v>57</v>
      </c>
      <c r="M11" s="80" t="s">
        <v>57</v>
      </c>
      <c r="N11" s="79" t="s">
        <v>57</v>
      </c>
      <c r="O11" s="79" t="s">
        <v>57</v>
      </c>
      <c r="P11" s="79">
        <v>0</v>
      </c>
      <c r="Q11" s="79" t="s">
        <v>57</v>
      </c>
      <c r="R11" s="80" t="s">
        <v>57</v>
      </c>
      <c r="S11" s="80" t="s">
        <v>57</v>
      </c>
      <c r="T11" s="79" t="s">
        <v>57</v>
      </c>
      <c r="U11" s="79" t="s">
        <v>57</v>
      </c>
      <c r="V11" s="79" t="s">
        <v>57</v>
      </c>
      <c r="W11" s="79" t="s">
        <v>57</v>
      </c>
      <c r="X11" s="80" t="s">
        <v>57</v>
      </c>
      <c r="Y11" s="80" t="s">
        <v>57</v>
      </c>
      <c r="Z11" s="80" t="s">
        <v>57</v>
      </c>
    </row>
    <row r="12" spans="2:26" x14ac:dyDescent="0.3">
      <c r="B12" s="83">
        <v>9</v>
      </c>
      <c r="C12" s="80" t="s">
        <v>57</v>
      </c>
      <c r="D12" s="80" t="s">
        <v>57</v>
      </c>
      <c r="E12" s="80" t="s">
        <v>57</v>
      </c>
      <c r="F12" s="80" t="s">
        <v>57</v>
      </c>
      <c r="G12" s="80" t="s">
        <v>57</v>
      </c>
      <c r="H12" s="80" t="s">
        <v>57</v>
      </c>
      <c r="I12" s="80" t="s">
        <v>57</v>
      </c>
      <c r="J12" s="80" t="s">
        <v>57</v>
      </c>
      <c r="K12" s="80" t="s">
        <v>57</v>
      </c>
      <c r="L12" s="80" t="s">
        <v>57</v>
      </c>
      <c r="M12" s="80" t="s">
        <v>57</v>
      </c>
      <c r="N12" s="84" t="s">
        <v>176</v>
      </c>
      <c r="O12" s="84" t="s">
        <v>181</v>
      </c>
      <c r="P12" s="84" t="s">
        <v>160</v>
      </c>
      <c r="Q12" s="84" t="s">
        <v>162</v>
      </c>
      <c r="R12" s="80" t="s">
        <v>57</v>
      </c>
      <c r="S12" s="80" t="s">
        <v>57</v>
      </c>
      <c r="T12" s="84" t="s">
        <v>161</v>
      </c>
      <c r="U12" s="84" t="s">
        <v>152</v>
      </c>
      <c r="V12" s="84" t="s">
        <v>151</v>
      </c>
      <c r="W12" s="84" t="s">
        <v>119</v>
      </c>
      <c r="X12" s="80" t="s">
        <v>57</v>
      </c>
      <c r="Y12" s="80" t="s">
        <v>57</v>
      </c>
      <c r="Z12" s="80" t="s">
        <v>57</v>
      </c>
    </row>
    <row r="13" spans="2:26" x14ac:dyDescent="0.3">
      <c r="B13" s="83">
        <v>10</v>
      </c>
      <c r="C13" s="80" t="s">
        <v>57</v>
      </c>
      <c r="D13" s="80" t="s">
        <v>57</v>
      </c>
      <c r="E13" s="80" t="s">
        <v>57</v>
      </c>
      <c r="F13" s="80" t="s">
        <v>57</v>
      </c>
      <c r="G13" s="80" t="s">
        <v>57</v>
      </c>
      <c r="H13" s="80" t="s">
        <v>57</v>
      </c>
      <c r="I13" s="80" t="s">
        <v>57</v>
      </c>
      <c r="J13" s="80" t="s">
        <v>57</v>
      </c>
      <c r="K13" s="80" t="s">
        <v>57</v>
      </c>
      <c r="L13" s="80" t="s">
        <v>57</v>
      </c>
      <c r="M13" s="80" t="s">
        <v>57</v>
      </c>
      <c r="N13" s="84" t="s">
        <v>188</v>
      </c>
      <c r="O13" s="84" t="s">
        <v>188</v>
      </c>
      <c r="P13" s="84" t="s">
        <v>57</v>
      </c>
      <c r="Q13" s="84" t="s">
        <v>57</v>
      </c>
      <c r="R13" s="80" t="s">
        <v>57</v>
      </c>
      <c r="S13" s="80" t="s">
        <v>57</v>
      </c>
      <c r="T13" s="84" t="s">
        <v>57</v>
      </c>
      <c r="U13" s="84" t="s">
        <v>57</v>
      </c>
      <c r="V13" s="84" t="s">
        <v>57</v>
      </c>
      <c r="W13" s="84" t="s">
        <v>57</v>
      </c>
      <c r="X13" s="80" t="s">
        <v>57</v>
      </c>
      <c r="Y13" s="80" t="s">
        <v>57</v>
      </c>
      <c r="Z13" s="80" t="s">
        <v>57</v>
      </c>
    </row>
    <row r="14" spans="2:26" x14ac:dyDescent="0.3">
      <c r="B14" s="83">
        <v>22</v>
      </c>
      <c r="C14" s="80" t="s">
        <v>57</v>
      </c>
      <c r="D14" s="80" t="s">
        <v>57</v>
      </c>
      <c r="E14" s="80" t="s">
        <v>57</v>
      </c>
      <c r="F14" s="80" t="s">
        <v>57</v>
      </c>
      <c r="G14" s="80" t="s">
        <v>57</v>
      </c>
      <c r="H14" s="80" t="s">
        <v>57</v>
      </c>
      <c r="I14" s="80" t="s">
        <v>57</v>
      </c>
      <c r="J14" s="80" t="s">
        <v>57</v>
      </c>
      <c r="K14" s="80" t="s">
        <v>57</v>
      </c>
      <c r="L14" s="80" t="s">
        <v>57</v>
      </c>
      <c r="M14" s="80" t="s">
        <v>57</v>
      </c>
      <c r="N14" s="84" t="s">
        <v>57</v>
      </c>
      <c r="O14" s="84" t="s">
        <v>189</v>
      </c>
      <c r="P14" s="84" t="s">
        <v>57</v>
      </c>
      <c r="Q14" s="84" t="s">
        <v>57</v>
      </c>
      <c r="R14" s="80" t="s">
        <v>57</v>
      </c>
      <c r="S14" s="80" t="s">
        <v>57</v>
      </c>
      <c r="T14" s="84" t="s">
        <v>57</v>
      </c>
      <c r="U14" s="84" t="s">
        <v>57</v>
      </c>
      <c r="V14" s="84" t="s">
        <v>57</v>
      </c>
      <c r="W14" s="84" t="s">
        <v>57</v>
      </c>
      <c r="X14" s="80" t="s">
        <v>57</v>
      </c>
      <c r="Y14" s="80" t="s">
        <v>57</v>
      </c>
      <c r="Z14" s="80" t="s">
        <v>57</v>
      </c>
    </row>
    <row r="15" spans="2:26" x14ac:dyDescent="0.3">
      <c r="B15" s="78">
        <v>24</v>
      </c>
      <c r="C15" s="80" t="s">
        <v>57</v>
      </c>
      <c r="D15" s="80" t="s">
        <v>57</v>
      </c>
      <c r="E15" s="80" t="s">
        <v>57</v>
      </c>
      <c r="F15" s="80" t="s">
        <v>57</v>
      </c>
      <c r="G15" s="80" t="s">
        <v>57</v>
      </c>
      <c r="H15" s="80" t="s">
        <v>57</v>
      </c>
      <c r="I15" s="80" t="s">
        <v>57</v>
      </c>
      <c r="J15" s="80" t="s">
        <v>57</v>
      </c>
      <c r="K15" s="80" t="s">
        <v>57</v>
      </c>
      <c r="L15" s="80" t="s">
        <v>57</v>
      </c>
      <c r="M15" s="80" t="s">
        <v>57</v>
      </c>
      <c r="N15" s="79" t="s">
        <v>57</v>
      </c>
      <c r="O15" s="79" t="s">
        <v>57</v>
      </c>
      <c r="P15" s="79" t="s">
        <v>57</v>
      </c>
      <c r="Q15" s="79" t="s">
        <v>57</v>
      </c>
      <c r="R15" s="80" t="s">
        <v>57</v>
      </c>
      <c r="S15" s="80" t="s">
        <v>57</v>
      </c>
      <c r="T15" s="79" t="s">
        <v>57</v>
      </c>
      <c r="U15" s="79" t="s">
        <v>57</v>
      </c>
      <c r="V15" s="79" t="s">
        <v>57</v>
      </c>
      <c r="W15" s="79" t="s">
        <v>57</v>
      </c>
      <c r="X15" s="80" t="s">
        <v>57</v>
      </c>
      <c r="Y15" s="80" t="s">
        <v>57</v>
      </c>
      <c r="Z15" s="80" t="s">
        <v>57</v>
      </c>
    </row>
    <row r="16" spans="2:26" s="77" customFormat="1" x14ac:dyDescent="0.3">
      <c r="B16" s="78">
        <v>26</v>
      </c>
      <c r="C16" s="77" t="s">
        <v>136</v>
      </c>
      <c r="D16" s="77" t="s">
        <v>122</v>
      </c>
      <c r="E16" s="77" t="s">
        <v>121</v>
      </c>
      <c r="F16" s="77" t="s">
        <v>137</v>
      </c>
      <c r="G16" s="77" t="s">
        <v>180</v>
      </c>
      <c r="H16" s="77" t="s">
        <v>187</v>
      </c>
      <c r="I16" s="77" t="s">
        <v>57</v>
      </c>
      <c r="J16" s="77" t="s">
        <v>176</v>
      </c>
      <c r="K16" s="77" t="s">
        <v>188</v>
      </c>
      <c r="L16" s="77" t="s">
        <v>57</v>
      </c>
      <c r="M16" s="77" t="s">
        <v>57</v>
      </c>
      <c r="N16" s="77" t="s">
        <v>57</v>
      </c>
      <c r="O16" s="77" t="s">
        <v>57</v>
      </c>
      <c r="P16" s="77" t="s">
        <v>57</v>
      </c>
      <c r="Q16" s="77" t="s">
        <v>57</v>
      </c>
      <c r="R16" s="80" t="s">
        <v>149</v>
      </c>
      <c r="S16" s="80" t="s">
        <v>129</v>
      </c>
      <c r="T16" s="77" t="s">
        <v>57</v>
      </c>
      <c r="U16" s="77" t="s">
        <v>57</v>
      </c>
      <c r="V16" s="77" t="s">
        <v>57</v>
      </c>
      <c r="W16" s="77" t="s">
        <v>57</v>
      </c>
      <c r="X16" s="80" t="s">
        <v>116</v>
      </c>
      <c r="Y16" s="80" t="s">
        <v>115</v>
      </c>
      <c r="Z16" s="80" t="s">
        <v>111</v>
      </c>
    </row>
    <row r="17" spans="2:26" s="77" customFormat="1" x14ac:dyDescent="0.3">
      <c r="B17" s="78">
        <v>28</v>
      </c>
      <c r="C17" s="77" t="s">
        <v>178</v>
      </c>
      <c r="D17" s="77" t="s">
        <v>173</v>
      </c>
      <c r="E17" s="77" t="s">
        <v>179</v>
      </c>
      <c r="F17" s="77" t="s">
        <v>191</v>
      </c>
      <c r="G17" s="77" t="s">
        <v>180</v>
      </c>
      <c r="H17" s="77" t="s">
        <v>187</v>
      </c>
      <c r="I17" s="77" t="s">
        <v>57</v>
      </c>
      <c r="J17" s="77" t="s">
        <v>181</v>
      </c>
      <c r="K17" s="77" t="s">
        <v>188</v>
      </c>
      <c r="L17" s="77" t="s">
        <v>189</v>
      </c>
      <c r="M17" s="77" t="s">
        <v>57</v>
      </c>
      <c r="N17" s="77" t="s">
        <v>57</v>
      </c>
      <c r="O17" s="77" t="s">
        <v>57</v>
      </c>
      <c r="P17" s="77" t="s">
        <v>57</v>
      </c>
      <c r="Q17" s="77" t="s">
        <v>57</v>
      </c>
      <c r="R17" s="80" t="s">
        <v>158</v>
      </c>
      <c r="S17" s="80" t="s">
        <v>148</v>
      </c>
      <c r="T17" s="77" t="s">
        <v>57</v>
      </c>
      <c r="U17" s="77" t="s">
        <v>57</v>
      </c>
      <c r="V17" s="77" t="s">
        <v>57</v>
      </c>
      <c r="W17" s="77" t="s">
        <v>57</v>
      </c>
      <c r="X17" s="80" t="s">
        <v>128</v>
      </c>
      <c r="Y17" s="80" t="s">
        <v>114</v>
      </c>
      <c r="Z17" s="80" t="s">
        <v>139</v>
      </c>
    </row>
    <row r="18" spans="2:26" s="77" customFormat="1" x14ac:dyDescent="0.3">
      <c r="B18" s="78">
        <v>30</v>
      </c>
      <c r="C18" s="77" t="s">
        <v>192</v>
      </c>
      <c r="D18" s="77" t="s">
        <v>150</v>
      </c>
      <c r="E18" s="77" t="s">
        <v>57</v>
      </c>
      <c r="F18" s="77" t="s">
        <v>182</v>
      </c>
      <c r="G18" s="77" t="s">
        <v>57</v>
      </c>
      <c r="H18" s="77" t="s">
        <v>57</v>
      </c>
      <c r="I18" s="77">
        <v>0</v>
      </c>
      <c r="J18" s="77" t="s">
        <v>160</v>
      </c>
      <c r="K18" s="77" t="s">
        <v>57</v>
      </c>
      <c r="L18" s="77" t="s">
        <v>57</v>
      </c>
      <c r="M18" s="77" t="s">
        <v>57</v>
      </c>
      <c r="N18" s="77" t="s">
        <v>57</v>
      </c>
      <c r="O18" s="77" t="s">
        <v>57</v>
      </c>
      <c r="P18" s="77" t="s">
        <v>57</v>
      </c>
      <c r="Q18" s="77" t="s">
        <v>57</v>
      </c>
      <c r="R18" s="80" t="s">
        <v>190</v>
      </c>
      <c r="S18" s="80" t="s">
        <v>163</v>
      </c>
      <c r="T18" s="77" t="s">
        <v>57</v>
      </c>
      <c r="U18" s="77" t="s">
        <v>57</v>
      </c>
      <c r="V18" s="77" t="s">
        <v>57</v>
      </c>
      <c r="W18" s="77" t="s">
        <v>57</v>
      </c>
      <c r="X18" s="80" t="s">
        <v>155</v>
      </c>
      <c r="Y18" s="80" t="s">
        <v>154</v>
      </c>
      <c r="Z18" s="80" t="s">
        <v>25</v>
      </c>
    </row>
    <row r="19" spans="2:26" s="77" customFormat="1" x14ac:dyDescent="0.3">
      <c r="B19" s="78">
        <v>32</v>
      </c>
      <c r="C19" s="77" t="s">
        <v>184</v>
      </c>
      <c r="D19" s="77" t="s">
        <v>172</v>
      </c>
      <c r="E19" s="77" t="s">
        <v>170</v>
      </c>
      <c r="F19" s="77" t="s">
        <v>195</v>
      </c>
      <c r="G19" s="77" t="s">
        <v>57</v>
      </c>
      <c r="H19" s="77" t="s">
        <v>57</v>
      </c>
      <c r="I19" s="77" t="s">
        <v>57</v>
      </c>
      <c r="J19" s="77" t="s">
        <v>162</v>
      </c>
      <c r="K19" s="77" t="s">
        <v>57</v>
      </c>
      <c r="L19" s="77" t="s">
        <v>57</v>
      </c>
      <c r="M19" s="77" t="s">
        <v>57</v>
      </c>
      <c r="N19" s="77" t="s">
        <v>57</v>
      </c>
      <c r="O19" s="77" t="s">
        <v>57</v>
      </c>
      <c r="P19" s="77" t="s">
        <v>57</v>
      </c>
      <c r="Q19" s="77" t="s">
        <v>57</v>
      </c>
      <c r="R19" s="80" t="s">
        <v>168</v>
      </c>
      <c r="S19" s="80" t="s">
        <v>164</v>
      </c>
      <c r="T19" s="77" t="s">
        <v>57</v>
      </c>
      <c r="U19" s="77" t="s">
        <v>57</v>
      </c>
      <c r="V19" s="77" t="s">
        <v>57</v>
      </c>
      <c r="W19" s="77" t="s">
        <v>57</v>
      </c>
      <c r="X19" s="80" t="s">
        <v>156</v>
      </c>
      <c r="Y19" s="80" t="s">
        <v>134</v>
      </c>
      <c r="Z19" s="80" t="s">
        <v>169</v>
      </c>
    </row>
    <row r="20" spans="2:26" x14ac:dyDescent="0.3">
      <c r="B20" s="75">
        <v>34</v>
      </c>
      <c r="C20" s="80" t="s">
        <v>57</v>
      </c>
      <c r="D20" s="80" t="s">
        <v>57</v>
      </c>
      <c r="E20" s="80" t="s">
        <v>57</v>
      </c>
      <c r="F20" s="80" t="s">
        <v>57</v>
      </c>
      <c r="G20" s="80" t="s">
        <v>57</v>
      </c>
      <c r="H20" s="80" t="s">
        <v>57</v>
      </c>
      <c r="I20" s="80" t="s">
        <v>57</v>
      </c>
      <c r="J20" s="80" t="s">
        <v>57</v>
      </c>
      <c r="K20" s="80" t="s">
        <v>57</v>
      </c>
      <c r="L20" s="80" t="s">
        <v>57</v>
      </c>
      <c r="M20" s="80" t="s">
        <v>57</v>
      </c>
      <c r="N20" t="s">
        <v>149</v>
      </c>
      <c r="O20" t="s">
        <v>158</v>
      </c>
      <c r="P20" t="s">
        <v>190</v>
      </c>
      <c r="Q20" t="s">
        <v>168</v>
      </c>
      <c r="R20" s="80" t="s">
        <v>57</v>
      </c>
      <c r="S20" s="80" t="s">
        <v>57</v>
      </c>
      <c r="T20" t="s">
        <v>166</v>
      </c>
      <c r="U20" t="s">
        <v>167</v>
      </c>
      <c r="V20" t="s">
        <v>159</v>
      </c>
      <c r="W20" t="s">
        <v>130</v>
      </c>
      <c r="X20" s="80" t="s">
        <v>57</v>
      </c>
      <c r="Y20" s="80" t="s">
        <v>57</v>
      </c>
      <c r="Z20" s="80" t="s">
        <v>57</v>
      </c>
    </row>
    <row r="21" spans="2:26" x14ac:dyDescent="0.3">
      <c r="B21" s="75">
        <v>36</v>
      </c>
      <c r="C21" s="80" t="s">
        <v>57</v>
      </c>
      <c r="D21" s="80" t="s">
        <v>57</v>
      </c>
      <c r="E21" s="80" t="s">
        <v>57</v>
      </c>
      <c r="F21" s="80" t="s">
        <v>57</v>
      </c>
      <c r="G21" s="80" t="s">
        <v>57</v>
      </c>
      <c r="H21" s="80" t="s">
        <v>57</v>
      </c>
      <c r="I21" s="80" t="s">
        <v>57</v>
      </c>
      <c r="J21" s="80" t="s">
        <v>57</v>
      </c>
      <c r="K21" s="80" t="s">
        <v>57</v>
      </c>
      <c r="L21" s="80" t="s">
        <v>57</v>
      </c>
      <c r="M21" s="80" t="s">
        <v>57</v>
      </c>
      <c r="N21" t="s">
        <v>129</v>
      </c>
      <c r="O21" t="s">
        <v>148</v>
      </c>
      <c r="P21" t="s">
        <v>163</v>
      </c>
      <c r="Q21" t="s">
        <v>164</v>
      </c>
      <c r="R21" s="80" t="s">
        <v>57</v>
      </c>
      <c r="S21" s="80" t="s">
        <v>57</v>
      </c>
      <c r="T21" t="s">
        <v>165</v>
      </c>
      <c r="U21">
        <v>0</v>
      </c>
      <c r="V21" t="s">
        <v>157</v>
      </c>
      <c r="W21" t="s">
        <v>118</v>
      </c>
      <c r="X21" s="80" t="s">
        <v>57</v>
      </c>
      <c r="Y21" s="80" t="s">
        <v>57</v>
      </c>
      <c r="Z21" s="80" t="s">
        <v>57</v>
      </c>
    </row>
    <row r="22" spans="2:26" s="77" customFormat="1" x14ac:dyDescent="0.3">
      <c r="B22" s="78">
        <v>38</v>
      </c>
      <c r="C22" s="77" t="s">
        <v>57</v>
      </c>
      <c r="D22" s="77" t="s">
        <v>171</v>
      </c>
      <c r="E22" s="77" t="s">
        <v>185</v>
      </c>
      <c r="F22" s="77" t="s">
        <v>193</v>
      </c>
      <c r="G22" s="77" t="s">
        <v>57</v>
      </c>
      <c r="H22" s="77" t="s">
        <v>57</v>
      </c>
      <c r="I22" s="77" t="s">
        <v>57</v>
      </c>
      <c r="J22" s="77" t="s">
        <v>161</v>
      </c>
      <c r="K22" s="77" t="s">
        <v>57</v>
      </c>
      <c r="L22" s="77" t="s">
        <v>57</v>
      </c>
      <c r="M22" s="77" t="s">
        <v>57</v>
      </c>
      <c r="N22" s="77" t="s">
        <v>57</v>
      </c>
      <c r="O22" s="77" t="s">
        <v>57</v>
      </c>
      <c r="P22" s="77" t="s">
        <v>57</v>
      </c>
      <c r="Q22" s="77" t="s">
        <v>57</v>
      </c>
      <c r="R22" s="77" t="s">
        <v>166</v>
      </c>
      <c r="S22" s="77" t="s">
        <v>165</v>
      </c>
      <c r="T22" s="77" t="s">
        <v>57</v>
      </c>
      <c r="U22" s="77" t="s">
        <v>57</v>
      </c>
      <c r="V22" s="77" t="s">
        <v>57</v>
      </c>
      <c r="W22" s="77" t="s">
        <v>57</v>
      </c>
      <c r="X22" s="80" t="s">
        <v>147</v>
      </c>
      <c r="Y22" s="80" t="s">
        <v>125</v>
      </c>
      <c r="Z22" s="80" t="s">
        <v>124</v>
      </c>
    </row>
    <row r="23" spans="2:26" s="77" customFormat="1" x14ac:dyDescent="0.3">
      <c r="B23" s="78">
        <v>40</v>
      </c>
      <c r="C23" s="77" t="s">
        <v>142</v>
      </c>
      <c r="D23" s="77" t="s">
        <v>143</v>
      </c>
      <c r="E23" s="77" t="s">
        <v>133</v>
      </c>
      <c r="F23" s="77" t="s">
        <v>153</v>
      </c>
      <c r="G23" s="77" t="s">
        <v>57</v>
      </c>
      <c r="H23" s="77" t="s">
        <v>57</v>
      </c>
      <c r="I23" s="77" t="s">
        <v>57</v>
      </c>
      <c r="J23" s="77" t="s">
        <v>152</v>
      </c>
      <c r="K23" s="77" t="s">
        <v>57</v>
      </c>
      <c r="L23" s="77" t="s">
        <v>57</v>
      </c>
      <c r="M23" s="77" t="s">
        <v>57</v>
      </c>
      <c r="N23" s="77" t="s">
        <v>57</v>
      </c>
      <c r="O23" s="77" t="s">
        <v>57</v>
      </c>
      <c r="P23" s="77" t="s">
        <v>57</v>
      </c>
      <c r="Q23" s="77" t="s">
        <v>57</v>
      </c>
      <c r="R23" s="77" t="s">
        <v>167</v>
      </c>
      <c r="S23" s="77">
        <v>0</v>
      </c>
      <c r="T23" s="77" t="s">
        <v>57</v>
      </c>
      <c r="U23" s="77" t="s">
        <v>57</v>
      </c>
      <c r="V23" s="77" t="s">
        <v>57</v>
      </c>
      <c r="W23" s="77" t="s">
        <v>57</v>
      </c>
      <c r="X23" s="80" t="s">
        <v>146</v>
      </c>
      <c r="Y23" s="80" t="s">
        <v>145</v>
      </c>
      <c r="Z23" s="80" t="s">
        <v>174</v>
      </c>
    </row>
    <row r="24" spans="2:26" s="77" customFormat="1" x14ac:dyDescent="0.3">
      <c r="B24" s="78">
        <v>42</v>
      </c>
      <c r="C24" s="77" t="s">
        <v>141</v>
      </c>
      <c r="D24" s="77" t="s">
        <v>140</v>
      </c>
      <c r="E24" s="77" t="s">
        <v>132</v>
      </c>
      <c r="F24" s="77" t="s">
        <v>131</v>
      </c>
      <c r="G24" s="77" t="s">
        <v>57</v>
      </c>
      <c r="H24" s="77" t="s">
        <v>57</v>
      </c>
      <c r="I24" s="77" t="s">
        <v>57</v>
      </c>
      <c r="J24" s="77" t="s">
        <v>151</v>
      </c>
      <c r="K24" s="77" t="s">
        <v>57</v>
      </c>
      <c r="L24" s="77" t="s">
        <v>57</v>
      </c>
      <c r="M24" s="77" t="s">
        <v>57</v>
      </c>
      <c r="N24" s="77" t="s">
        <v>57</v>
      </c>
      <c r="O24" s="77" t="s">
        <v>57</v>
      </c>
      <c r="P24" s="77" t="s">
        <v>57</v>
      </c>
      <c r="Q24" s="77" t="s">
        <v>57</v>
      </c>
      <c r="R24" s="77" t="s">
        <v>159</v>
      </c>
      <c r="S24" s="77" t="s">
        <v>157</v>
      </c>
      <c r="T24" s="77" t="s">
        <v>57</v>
      </c>
      <c r="U24" s="77" t="s">
        <v>57</v>
      </c>
      <c r="V24" s="77" t="s">
        <v>57</v>
      </c>
      <c r="W24" s="77" t="s">
        <v>57</v>
      </c>
      <c r="X24" s="80" t="s">
        <v>127</v>
      </c>
      <c r="Y24" s="80" t="s">
        <v>126</v>
      </c>
      <c r="Z24" s="80" t="s">
        <v>144</v>
      </c>
    </row>
    <row r="25" spans="2:26" s="77" customFormat="1" x14ac:dyDescent="0.3">
      <c r="B25" s="76">
        <v>44</v>
      </c>
      <c r="C25" s="77" t="s">
        <v>135</v>
      </c>
      <c r="D25" s="77" t="s">
        <v>123</v>
      </c>
      <c r="E25" s="77" t="s">
        <v>120</v>
      </c>
      <c r="F25" s="77" t="s">
        <v>138</v>
      </c>
      <c r="G25" s="77" t="s">
        <v>57</v>
      </c>
      <c r="H25" s="77" t="s">
        <v>57</v>
      </c>
      <c r="I25" s="77" t="s">
        <v>57</v>
      </c>
      <c r="J25" s="77" t="s">
        <v>119</v>
      </c>
      <c r="K25" s="77" t="s">
        <v>57</v>
      </c>
      <c r="L25" s="77" t="s">
        <v>57</v>
      </c>
      <c r="M25" s="77" t="s">
        <v>57</v>
      </c>
      <c r="N25" s="77" t="s">
        <v>57</v>
      </c>
      <c r="O25" s="77" t="s">
        <v>57</v>
      </c>
      <c r="P25" s="77" t="s">
        <v>57</v>
      </c>
      <c r="Q25" s="77" t="s">
        <v>57</v>
      </c>
      <c r="R25" s="77" t="s">
        <v>130</v>
      </c>
      <c r="S25" s="77" t="s">
        <v>118</v>
      </c>
      <c r="T25" s="77" t="s">
        <v>57</v>
      </c>
      <c r="U25" s="77" t="s">
        <v>57</v>
      </c>
      <c r="V25" s="77" t="s">
        <v>57</v>
      </c>
      <c r="W25" s="77" t="s">
        <v>57</v>
      </c>
      <c r="X25" s="77" t="s">
        <v>117</v>
      </c>
      <c r="Y25" s="77" t="s">
        <v>113</v>
      </c>
      <c r="Z25" s="77" t="s">
        <v>112</v>
      </c>
    </row>
    <row r="26" spans="2:26" x14ac:dyDescent="0.3">
      <c r="B26" s="81">
        <v>46</v>
      </c>
      <c r="C26" s="80" t="s">
        <v>57</v>
      </c>
      <c r="D26" s="80" t="s">
        <v>57</v>
      </c>
      <c r="E26" s="80" t="s">
        <v>57</v>
      </c>
      <c r="F26" s="80" t="s">
        <v>57</v>
      </c>
      <c r="G26" s="80" t="s">
        <v>57</v>
      </c>
      <c r="H26" s="80" t="s">
        <v>57</v>
      </c>
      <c r="I26" s="80" t="s">
        <v>57</v>
      </c>
      <c r="J26" s="80" t="s">
        <v>57</v>
      </c>
      <c r="K26" s="80" t="s">
        <v>57</v>
      </c>
      <c r="L26" s="80" t="s">
        <v>57</v>
      </c>
      <c r="M26" s="80" t="s">
        <v>57</v>
      </c>
      <c r="N26" s="84" t="s">
        <v>116</v>
      </c>
      <c r="O26" s="84" t="s">
        <v>128</v>
      </c>
      <c r="P26" s="84" t="s">
        <v>155</v>
      </c>
      <c r="Q26" s="84" t="s">
        <v>156</v>
      </c>
      <c r="R26" s="80" t="s">
        <v>57</v>
      </c>
      <c r="S26" s="80" t="s">
        <v>57</v>
      </c>
      <c r="T26" s="84" t="s">
        <v>147</v>
      </c>
      <c r="U26" s="84" t="s">
        <v>146</v>
      </c>
      <c r="V26" s="84" t="s">
        <v>127</v>
      </c>
      <c r="W26" s="84" t="s">
        <v>117</v>
      </c>
      <c r="X26" s="80" t="s">
        <v>57</v>
      </c>
      <c r="Y26" s="80" t="s">
        <v>57</v>
      </c>
      <c r="Z26" s="80" t="s">
        <v>57</v>
      </c>
    </row>
    <row r="27" spans="2:26" x14ac:dyDescent="0.3">
      <c r="B27" s="81">
        <v>48</v>
      </c>
      <c r="C27" s="80" t="s">
        <v>57</v>
      </c>
      <c r="D27" s="80" t="s">
        <v>57</v>
      </c>
      <c r="E27" s="80" t="s">
        <v>57</v>
      </c>
      <c r="F27" s="80" t="s">
        <v>57</v>
      </c>
      <c r="G27" s="80" t="s">
        <v>57</v>
      </c>
      <c r="H27" s="80" t="s">
        <v>57</v>
      </c>
      <c r="I27" s="80" t="s">
        <v>57</v>
      </c>
      <c r="J27" s="80" t="s">
        <v>57</v>
      </c>
      <c r="K27" s="80" t="s">
        <v>57</v>
      </c>
      <c r="L27" s="80" t="s">
        <v>57</v>
      </c>
      <c r="M27" s="80" t="s">
        <v>57</v>
      </c>
      <c r="N27" s="84" t="s">
        <v>115</v>
      </c>
      <c r="O27" s="84" t="s">
        <v>114</v>
      </c>
      <c r="P27" s="84" t="s">
        <v>154</v>
      </c>
      <c r="Q27" s="84" t="s">
        <v>134</v>
      </c>
      <c r="R27" s="80" t="s">
        <v>57</v>
      </c>
      <c r="S27" s="80" t="s">
        <v>57</v>
      </c>
      <c r="T27" s="84" t="s">
        <v>125</v>
      </c>
      <c r="U27" s="84" t="s">
        <v>145</v>
      </c>
      <c r="V27" s="84" t="s">
        <v>126</v>
      </c>
      <c r="W27" s="84" t="s">
        <v>113</v>
      </c>
      <c r="X27" s="80" t="s">
        <v>57</v>
      </c>
      <c r="Y27" s="80" t="s">
        <v>57</v>
      </c>
      <c r="Z27" s="80" t="s">
        <v>57</v>
      </c>
    </row>
    <row r="28" spans="2:26" x14ac:dyDescent="0.3">
      <c r="B28" s="81">
        <v>50</v>
      </c>
      <c r="C28" s="80" t="s">
        <v>57</v>
      </c>
      <c r="D28" s="80" t="s">
        <v>57</v>
      </c>
      <c r="E28" s="80" t="s">
        <v>57</v>
      </c>
      <c r="F28" s="80" t="s">
        <v>57</v>
      </c>
      <c r="G28" s="80" t="s">
        <v>57</v>
      </c>
      <c r="H28" s="80" t="s">
        <v>57</v>
      </c>
      <c r="I28" s="80" t="s">
        <v>57</v>
      </c>
      <c r="J28" s="80" t="s">
        <v>57</v>
      </c>
      <c r="K28" s="80" t="s">
        <v>57</v>
      </c>
      <c r="L28" s="80" t="s">
        <v>57</v>
      </c>
      <c r="M28" s="80" t="s">
        <v>57</v>
      </c>
      <c r="N28" s="84" t="s">
        <v>111</v>
      </c>
      <c r="O28" s="84" t="s">
        <v>139</v>
      </c>
      <c r="P28" s="84" t="s">
        <v>25</v>
      </c>
      <c r="Q28" s="84" t="s">
        <v>169</v>
      </c>
      <c r="R28" s="80" t="s">
        <v>57</v>
      </c>
      <c r="S28" s="80" t="s">
        <v>57</v>
      </c>
      <c r="T28" s="84" t="s">
        <v>124</v>
      </c>
      <c r="U28" s="84" t="s">
        <v>174</v>
      </c>
      <c r="V28" s="84" t="s">
        <v>144</v>
      </c>
      <c r="W28" s="84" t="s">
        <v>112</v>
      </c>
      <c r="X28" s="80" t="s">
        <v>57</v>
      </c>
      <c r="Y28" s="80" t="s">
        <v>57</v>
      </c>
      <c r="Z28" s="80" t="s">
        <v>57</v>
      </c>
    </row>
    <row r="29" spans="2:26" x14ac:dyDescent="0.3"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</row>
    <row r="30" spans="2:26" x14ac:dyDescent="0.3"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</row>
    <row r="31" spans="2:26" x14ac:dyDescent="0.3"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J18"/>
  <sheetViews>
    <sheetView showFormulas="1" tabSelected="1" workbookViewId="0">
      <selection activeCell="E8" sqref="E8"/>
    </sheetView>
  </sheetViews>
  <sheetFormatPr defaultRowHeight="14.4" x14ac:dyDescent="0.3"/>
  <cols>
    <col min="1" max="1" width="5.21875" customWidth="1"/>
    <col min="2" max="2" width="6" customWidth="1"/>
    <col min="3" max="4" width="9.109375" bestFit="1" customWidth="1"/>
    <col min="5" max="5" width="5.44140625" bestFit="1" customWidth="1"/>
    <col min="6" max="6" width="7.77734375" bestFit="1" customWidth="1"/>
    <col min="7" max="7" width="8.44140625" bestFit="1" customWidth="1"/>
    <col min="8" max="8" width="7.33203125" bestFit="1" customWidth="1"/>
    <col min="9" max="9" width="5.44140625" bestFit="1" customWidth="1"/>
    <col min="10" max="10" width="5.6640625" bestFit="1" customWidth="1"/>
  </cols>
  <sheetData>
    <row r="4" spans="2:10" x14ac:dyDescent="0.3">
      <c r="B4" s="75" t="s">
        <v>94</v>
      </c>
      <c r="C4" s="75">
        <v>26</v>
      </c>
      <c r="D4" s="75">
        <v>28</v>
      </c>
      <c r="E4" s="75">
        <v>30</v>
      </c>
      <c r="F4" s="75">
        <v>32</v>
      </c>
      <c r="G4" s="75">
        <v>38</v>
      </c>
      <c r="H4" s="75">
        <v>40</v>
      </c>
      <c r="I4" s="75">
        <v>42</v>
      </c>
      <c r="J4" s="75">
        <v>44</v>
      </c>
    </row>
    <row r="5" spans="2:10" x14ac:dyDescent="0.3">
      <c r="B5" s="83">
        <v>2</v>
      </c>
      <c r="C5" s="84" t="s">
        <v>136</v>
      </c>
      <c r="D5" s="84" t="s">
        <v>178</v>
      </c>
      <c r="E5" s="84" t="s">
        <v>192</v>
      </c>
      <c r="F5" s="84" t="s">
        <v>184</v>
      </c>
      <c r="G5" s="84" t="s">
        <v>57</v>
      </c>
      <c r="H5" s="84" t="s">
        <v>142</v>
      </c>
      <c r="I5" s="84" t="s">
        <v>141</v>
      </c>
      <c r="J5" s="84" t="s">
        <v>135</v>
      </c>
    </row>
    <row r="6" spans="2:10" x14ac:dyDescent="0.3">
      <c r="B6" s="83">
        <v>3</v>
      </c>
      <c r="C6" s="84" t="s">
        <v>122</v>
      </c>
      <c r="D6" s="84" t="s">
        <v>173</v>
      </c>
      <c r="E6" s="84" t="s">
        <v>150</v>
      </c>
      <c r="F6" s="84" t="s">
        <v>172</v>
      </c>
      <c r="G6" s="84" t="s">
        <v>171</v>
      </c>
      <c r="H6" s="84" t="s">
        <v>143</v>
      </c>
      <c r="I6" s="84" t="s">
        <v>140</v>
      </c>
      <c r="J6" s="84" t="s">
        <v>123</v>
      </c>
    </row>
    <row r="7" spans="2:10" x14ac:dyDescent="0.3">
      <c r="B7" s="83">
        <v>4</v>
      </c>
      <c r="C7" s="84" t="s">
        <v>121</v>
      </c>
      <c r="D7" s="84" t="s">
        <v>179</v>
      </c>
      <c r="E7" s="84" t="s">
        <v>177</v>
      </c>
      <c r="F7" s="84" t="s">
        <v>170</v>
      </c>
      <c r="G7" s="84" t="s">
        <v>185</v>
      </c>
      <c r="H7" s="84" t="s">
        <v>133</v>
      </c>
      <c r="I7" s="84" t="s">
        <v>132</v>
      </c>
      <c r="J7" s="84" t="s">
        <v>120</v>
      </c>
    </row>
    <row r="8" spans="2:10" x14ac:dyDescent="0.3">
      <c r="B8" s="83">
        <v>5</v>
      </c>
      <c r="C8" s="84" t="s">
        <v>137</v>
      </c>
      <c r="D8" s="84" t="s">
        <v>191</v>
      </c>
      <c r="E8" s="84" t="s">
        <v>182</v>
      </c>
      <c r="F8" s="84" t="s">
        <v>195</v>
      </c>
      <c r="G8" s="84" t="s">
        <v>193</v>
      </c>
      <c r="H8" s="84" t="s">
        <v>153</v>
      </c>
      <c r="I8" s="84" t="s">
        <v>131</v>
      </c>
      <c r="J8" s="84" t="s">
        <v>138</v>
      </c>
    </row>
    <row r="9" spans="2:10" x14ac:dyDescent="0.3">
      <c r="B9" s="83">
        <v>6</v>
      </c>
      <c r="C9" s="84" t="s">
        <v>180</v>
      </c>
      <c r="D9" s="84" t="s">
        <v>180</v>
      </c>
      <c r="E9" s="84" t="s">
        <v>57</v>
      </c>
      <c r="F9" s="84" t="s">
        <v>57</v>
      </c>
      <c r="G9" s="84" t="s">
        <v>57</v>
      </c>
      <c r="H9" s="84" t="s">
        <v>57</v>
      </c>
      <c r="I9" s="84" t="s">
        <v>57</v>
      </c>
      <c r="J9" s="84" t="s">
        <v>57</v>
      </c>
    </row>
    <row r="10" spans="2:10" x14ac:dyDescent="0.3">
      <c r="B10" s="83">
        <v>7</v>
      </c>
      <c r="C10" s="84" t="s">
        <v>187</v>
      </c>
      <c r="D10" s="84" t="s">
        <v>187</v>
      </c>
      <c r="E10" s="84" t="s">
        <v>57</v>
      </c>
      <c r="F10" s="84" t="s">
        <v>57</v>
      </c>
      <c r="G10" s="84" t="s">
        <v>57</v>
      </c>
      <c r="H10" s="84" t="s">
        <v>57</v>
      </c>
      <c r="I10" s="84" t="s">
        <v>57</v>
      </c>
      <c r="J10" s="84" t="s">
        <v>57</v>
      </c>
    </row>
    <row r="11" spans="2:10" x14ac:dyDescent="0.3">
      <c r="B11" s="83">
        <v>9</v>
      </c>
      <c r="C11" s="84" t="s">
        <v>176</v>
      </c>
      <c r="D11" s="84" t="s">
        <v>181</v>
      </c>
      <c r="E11" s="84" t="s">
        <v>160</v>
      </c>
      <c r="F11" s="84" t="s">
        <v>162</v>
      </c>
      <c r="G11" s="84" t="s">
        <v>161</v>
      </c>
      <c r="H11" s="84" t="s">
        <v>152</v>
      </c>
      <c r="I11" s="84" t="s">
        <v>151</v>
      </c>
      <c r="J11" s="84" t="s">
        <v>119</v>
      </c>
    </row>
    <row r="12" spans="2:10" x14ac:dyDescent="0.3">
      <c r="B12" s="83">
        <v>10</v>
      </c>
      <c r="C12" s="84" t="s">
        <v>188</v>
      </c>
      <c r="D12" s="84" t="s">
        <v>188</v>
      </c>
      <c r="E12" s="84" t="s">
        <v>57</v>
      </c>
      <c r="F12" s="84" t="s">
        <v>57</v>
      </c>
      <c r="G12" s="84" t="s">
        <v>57</v>
      </c>
      <c r="H12" s="84" t="s">
        <v>57</v>
      </c>
      <c r="I12" s="84" t="s">
        <v>57</v>
      </c>
      <c r="J12" s="84" t="s">
        <v>57</v>
      </c>
    </row>
    <row r="13" spans="2:10" x14ac:dyDescent="0.3">
      <c r="B13" s="83">
        <v>22</v>
      </c>
      <c r="C13" s="84" t="s">
        <v>57</v>
      </c>
      <c r="D13" s="84" t="s">
        <v>189</v>
      </c>
      <c r="E13" s="84" t="s">
        <v>57</v>
      </c>
      <c r="F13" s="84" t="s">
        <v>57</v>
      </c>
      <c r="G13" s="84" t="s">
        <v>57</v>
      </c>
      <c r="H13" s="84" t="s">
        <v>57</v>
      </c>
      <c r="I13" s="84" t="s">
        <v>57</v>
      </c>
      <c r="J13" s="84" t="s">
        <v>57</v>
      </c>
    </row>
    <row r="14" spans="2:10" x14ac:dyDescent="0.3">
      <c r="B14" s="75">
        <v>34</v>
      </c>
      <c r="C14" t="s">
        <v>149</v>
      </c>
      <c r="D14" t="s">
        <v>158</v>
      </c>
      <c r="E14" t="s">
        <v>190</v>
      </c>
      <c r="F14" t="s">
        <v>168</v>
      </c>
      <c r="G14" t="s">
        <v>166</v>
      </c>
      <c r="H14" t="s">
        <v>167</v>
      </c>
      <c r="I14" t="s">
        <v>159</v>
      </c>
      <c r="J14" t="s">
        <v>130</v>
      </c>
    </row>
    <row r="15" spans="2:10" x14ac:dyDescent="0.3">
      <c r="B15" s="75">
        <v>36</v>
      </c>
      <c r="C15" t="s">
        <v>129</v>
      </c>
      <c r="D15" t="s">
        <v>148</v>
      </c>
      <c r="E15" t="s">
        <v>163</v>
      </c>
      <c r="F15" t="s">
        <v>164</v>
      </c>
      <c r="G15" t="s">
        <v>165</v>
      </c>
      <c r="H15">
        <v>0</v>
      </c>
      <c r="I15" t="s">
        <v>157</v>
      </c>
      <c r="J15" t="s">
        <v>118</v>
      </c>
    </row>
    <row r="16" spans="2:10" x14ac:dyDescent="0.3">
      <c r="B16" s="81">
        <v>46</v>
      </c>
      <c r="C16" s="84" t="s">
        <v>116</v>
      </c>
      <c r="D16" s="84" t="s">
        <v>128</v>
      </c>
      <c r="E16" s="84" t="s">
        <v>155</v>
      </c>
      <c r="F16" s="84" t="s">
        <v>156</v>
      </c>
      <c r="G16" s="84" t="s">
        <v>147</v>
      </c>
      <c r="H16" s="84" t="s">
        <v>146</v>
      </c>
      <c r="I16" s="84" t="s">
        <v>127</v>
      </c>
      <c r="J16" s="84" t="s">
        <v>117</v>
      </c>
    </row>
    <row r="17" spans="2:10" x14ac:dyDescent="0.3">
      <c r="B17" s="81">
        <v>48</v>
      </c>
      <c r="C17" s="84" t="s">
        <v>115</v>
      </c>
      <c r="D17" s="84" t="s">
        <v>114</v>
      </c>
      <c r="E17" s="84" t="s">
        <v>154</v>
      </c>
      <c r="F17" s="84" t="s">
        <v>134</v>
      </c>
      <c r="G17" s="84" t="s">
        <v>125</v>
      </c>
      <c r="H17" s="84" t="s">
        <v>145</v>
      </c>
      <c r="I17" s="84" t="s">
        <v>126</v>
      </c>
      <c r="J17" s="84" t="s">
        <v>113</v>
      </c>
    </row>
    <row r="18" spans="2:10" x14ac:dyDescent="0.3">
      <c r="B18" s="81">
        <v>50</v>
      </c>
      <c r="C18" s="84" t="s">
        <v>111</v>
      </c>
      <c r="D18" s="84" t="s">
        <v>139</v>
      </c>
      <c r="E18" s="84" t="s">
        <v>25</v>
      </c>
      <c r="F18" s="84" t="s">
        <v>169</v>
      </c>
      <c r="G18" s="84" t="s">
        <v>124</v>
      </c>
      <c r="H18" s="84" t="s">
        <v>174</v>
      </c>
      <c r="I18" s="84" t="s">
        <v>144</v>
      </c>
      <c r="J18" s="84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Keyboard_matrix</vt:lpstr>
      <vt:lpstr>regrouping</vt:lpstr>
      <vt:lpstr>matrix</vt:lpstr>
      <vt:lpstr>matrix_result</vt:lpstr>
      <vt:lpstr>Keyboard_matrix!result_edit_3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Ruslan Sulakov</dc:creator>
  <cp:lastModifiedBy>Ruslan Sulakov</cp:lastModifiedBy>
  <dcterms:created xsi:type="dcterms:W3CDTF">2014-11-25T20:52:36Z</dcterms:created>
  <dcterms:modified xsi:type="dcterms:W3CDTF">2014-12-27T18:36:50Z</dcterms:modified>
</cp:coreProperties>
</file>